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iorities" sheetId="2" state="visible" r:id="rId2"/>
    <sheet xmlns:r="http://schemas.openxmlformats.org/officeDocument/2006/relationships" name="Portfolios" sheetId="3" state="visible" r:id="rId3"/>
    <sheet xmlns:r="http://schemas.openxmlformats.org/officeDocument/2006/relationships" name="Programs" sheetId="4" state="visible" r:id="rId4"/>
    <sheet xmlns:r="http://schemas.openxmlformats.org/officeDocument/2006/relationships" name="Projects" sheetId="5" state="visible" r:id="rId5"/>
    <sheet xmlns:r="http://schemas.openxmlformats.org/officeDocument/2006/relationships" name="Milestones" sheetId="6" state="visible" r:id="rId6"/>
    <sheet xmlns:r="http://schemas.openxmlformats.org/officeDocument/2006/relationships" name="Risks" sheetId="7" state="visible" r:id="rId7"/>
    <sheet xmlns:r="http://schemas.openxmlformats.org/officeDocument/2006/relationships" name="Issues" sheetId="8" state="visible" r:id="rId8"/>
    <sheet xmlns:r="http://schemas.openxmlformats.org/officeDocument/2006/relationships" name="LessonsLearned" sheetId="9" state="visible" r:id="rId9"/>
    <sheet xmlns:r="http://schemas.openxmlformats.org/officeDocument/2006/relationships" name="Config" sheetId="10" state="visible" r:id="rId10"/>
  </sheets>
  <definedNames>
    <definedName name="_xlnm._FilterDatabase" localSheetId="1" hidden="1">'Priorities'!$A$1:$F$2</definedName>
    <definedName name="_xlnm._FilterDatabase" localSheetId="2" hidden="1">'Portfolios'!$A$1:$E$5</definedName>
    <definedName name="_xlnm._FilterDatabase" localSheetId="3" hidden="1">'Programs'!$A$1:$D$18</definedName>
    <definedName name="_xlnm._FilterDatabase" localSheetId="4" hidden="1">'Projects'!$A$1:$X$85</definedName>
    <definedName name="_xlnm._FilterDatabase" localSheetId="5" hidden="1">'Milestones'!$A$1:$G$474</definedName>
    <definedName name="_xlnm._FilterDatabase" localSheetId="6" hidden="1">'Risks'!$A$1:$K$204</definedName>
    <definedName name="_xlnm._FilterDatabase" localSheetId="7" hidden="1">'Issues'!$A$1:$H$141</definedName>
    <definedName name="_xlnm._FilterDatabase" localSheetId="8" hidden="1">'LessonsLearned'!$A$1:$F$32</definedName>
    <definedName name="_xlnm._FilterDatabase" localSheetId="9" hidden="1">'Config'!$A$1:$C$13</definedName>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0;($#,##0);-"/>
  </numFmts>
  <fonts count="7">
    <font>
      <name val="Calibri"/>
      <family val="2"/>
      <color theme="1"/>
      <sz val="11"/>
      <scheme val="minor"/>
    </font>
    <font>
      <name val="Arial"/>
      <b val="1"/>
      <color rgb="00FFFFFF"/>
      <sz val="10"/>
    </font>
    <font>
      <name val="Arial"/>
      <sz val="10"/>
    </font>
    <font>
      <name val="Arial"/>
      <color rgb="00000000"/>
      <sz val="10"/>
    </font>
    <font>
      <name val="Arial"/>
      <b val="1"/>
      <sz val="16"/>
    </font>
    <font>
      <name val="Arial"/>
      <b val="1"/>
      <color rgb="001C5CAB"/>
      <sz val="11"/>
    </font>
    <font>
      <name val="Arial"/>
      <b val="1"/>
      <sz val="10"/>
    </font>
  </fonts>
  <fills count="4">
    <fill>
      <patternFill/>
    </fill>
    <fill>
      <patternFill patternType="gray125"/>
    </fill>
    <fill>
      <patternFill patternType="solid">
        <fgColor rgb="001C5CAB"/>
      </patternFill>
    </fill>
    <fill>
      <patternFill patternType="solid">
        <fgColor rgb="0052514E"/>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1" pivotButton="0" quotePrefix="0" xfId="0"/>
    <xf numFmtId="164" fontId="2" fillId="0" borderId="1" pivotButton="0" quotePrefix="0" xfId="0"/>
    <xf numFmtId="0" fontId="1" fillId="3" borderId="0" applyAlignment="1" pivotButton="0" quotePrefix="0" xfId="0">
      <alignment horizontal="center" vertical="center" wrapText="1"/>
    </xf>
    <xf numFmtId="165" fontId="2" fillId="0" borderId="1" pivotButton="0" quotePrefix="0" xfId="0"/>
    <xf numFmtId="166" fontId="2" fillId="0" borderId="1" pivotButton="0" quotePrefix="0" xfId="0"/>
    <xf numFmtId="166" fontId="3" fillId="0" borderId="1" pivotButton="0" quotePrefix="0" xfId="0"/>
    <xf numFmtId="2" fontId="3" fillId="0" borderId="1" pivotButton="0" quotePrefix="0" xfId="0"/>
    <xf numFmtId="1" fontId="3"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8"/>
  <sheetViews>
    <sheetView showGridLines="0" workbookViewId="0">
      <selection activeCell="A1" sqref="A1"/>
    </sheetView>
  </sheetViews>
  <sheetFormatPr baseColWidth="8" defaultRowHeight="15"/>
  <cols>
    <col width="3" customWidth="1" min="1" max="1"/>
    <col width="30" customWidth="1" min="2" max="2"/>
    <col width="96" customWidth="1" min="3" max="3"/>
  </cols>
  <sheetData>
    <row r="1">
      <c r="B1" s="1" t="inlineStr">
        <is>
          <t>Portfolio Reporting - Data Template</t>
        </is>
      </c>
    </row>
    <row r="3">
      <c r="C3" s="2" t="inlineStr">
        <is>
          <t>Fill this workbook in and drop it onto the dashboard page. Every number on the dashboard is derived from these sheets.</t>
        </is>
      </c>
    </row>
    <row r="5">
      <c r="B5" s="3" t="inlineStr">
        <is>
          <t>Legend</t>
        </is>
      </c>
    </row>
    <row r="6">
      <c r="B6" s="4" t="inlineStr">
        <is>
          <t>Blue header</t>
        </is>
      </c>
      <c r="C6" s="2" t="inlineStr">
        <is>
          <t>An INPUT column. Type your data here.</t>
        </is>
      </c>
    </row>
    <row r="7">
      <c r="B7" s="4" t="inlineStr">
        <is>
          <t>Grey header</t>
        </is>
      </c>
      <c r="C7" s="2" t="inlineStr">
        <is>
          <t>A CALCULATED column. Contains formulas - do not overwrite.</t>
        </is>
      </c>
    </row>
    <row r="8">
      <c r="B8" s="4" t="inlineStr">
        <is>
          <t>Sample rows</t>
        </is>
      </c>
      <c r="C8" s="2" t="inlineStr">
        <is>
          <t>Every sheet ships with realistic sample rows. Delete them and enter your own, or edit in place.</t>
        </is>
      </c>
    </row>
    <row r="10">
      <c r="B10" s="3" t="inlineStr">
        <is>
          <t>Hierarchy - how the drill-down is built</t>
        </is>
      </c>
    </row>
    <row r="11">
      <c r="B11" s="4" t="inlineStr">
        <is>
          <t>Priorities</t>
        </is>
      </c>
      <c r="C11" s="2" t="inlineStr">
        <is>
          <t>Top level. Organisational priorities for the financial year.</t>
        </is>
      </c>
    </row>
    <row r="12">
      <c r="B12" s="4" t="inlineStr">
        <is>
          <t>Portfolios</t>
        </is>
      </c>
      <c r="C12" s="2" t="inlineStr">
        <is>
          <t>Each links to one Priority via PriorityID.</t>
        </is>
      </c>
    </row>
    <row r="13">
      <c r="B13" s="4" t="inlineStr">
        <is>
          <t>Programs</t>
        </is>
      </c>
      <c r="C13" s="2" t="inlineStr">
        <is>
          <t>Each links to one Portfolio via PortfolioID.</t>
        </is>
      </c>
    </row>
    <row r="14">
      <c r="B14" s="4" t="inlineStr">
        <is>
          <t>Projects</t>
        </is>
      </c>
      <c r="C14" s="2" t="inlineStr">
        <is>
          <t>Each links to one Program via ProgramID. This is the main sheet.</t>
        </is>
      </c>
    </row>
    <row r="15">
      <c r="B15" s="4" t="inlineStr">
        <is>
          <t>Milestones / Risks / Issues / LessonsLearned</t>
        </is>
      </c>
      <c r="C15" s="2" t="inlineStr">
        <is>
          <t>Each links to one Project via ProjectID.</t>
        </is>
      </c>
    </row>
    <row r="16">
      <c r="C16" s="2" t="inlineStr">
        <is>
          <t>The only rule that matters: every ID referenced by a child row must exist in its parent sheet. Orphan rows are reported on the dashboard's Data Health panel and excluded from rollups.</t>
        </is>
      </c>
    </row>
    <row r="18">
      <c r="B18" s="3" t="inlineStr">
        <is>
          <t>The four numbers that drive everything</t>
        </is>
      </c>
    </row>
    <row r="19">
      <c r="B19" s="4" t="inlineStr">
        <is>
          <t>BudgetAtCompletion (BAC)</t>
        </is>
      </c>
      <c r="C19" s="2" t="inlineStr">
        <is>
          <t>Total approved budget for the project.</t>
        </is>
      </c>
    </row>
    <row r="20">
      <c r="B20" s="4" t="inlineStr">
        <is>
          <t>PlannedValue (PV)</t>
        </is>
      </c>
      <c r="C20" s="2" t="inlineStr">
        <is>
          <t>Budgeted cost of work SCHEDULED to date.</t>
        </is>
      </c>
    </row>
    <row r="21">
      <c r="B21" s="4" t="inlineStr">
        <is>
          <t>EarnedValue (EV)</t>
        </is>
      </c>
      <c r="C21" s="2" t="inlineStr">
        <is>
          <t>Budgeted cost of work ACTUALLY COMPLETED to date. = BAC x % complete.</t>
        </is>
      </c>
    </row>
    <row r="22">
      <c r="B22" s="4" t="inlineStr">
        <is>
          <t>ActualCost (AC)</t>
        </is>
      </c>
      <c r="C22" s="2" t="inlineStr">
        <is>
          <t>What has actually been spent to date.</t>
        </is>
      </c>
    </row>
    <row r="23">
      <c r="C23" s="2" t="inlineStr">
        <is>
          <t>From these four, the dashboard computes SPI, CPI, variances, forecast at completion, and every RAG status. If you only ever maintain four columns, maintain these.</t>
        </is>
      </c>
    </row>
    <row r="25">
      <c r="B25" s="3" t="inlineStr">
        <is>
          <t>PMI / PMBOK formulas used</t>
        </is>
      </c>
    </row>
    <row r="26">
      <c r="B26" s="4" t="inlineStr">
        <is>
          <t>SV  = EV - PV</t>
        </is>
      </c>
      <c r="C26" s="2" t="inlineStr">
        <is>
          <t>Schedule Variance. Negative = behind schedule.</t>
        </is>
      </c>
    </row>
    <row r="27">
      <c r="B27" s="4" t="inlineStr">
        <is>
          <t>CV  = EV - AC</t>
        </is>
      </c>
      <c r="C27" s="2" t="inlineStr">
        <is>
          <t>Cost Variance. Negative = over budget.</t>
        </is>
      </c>
    </row>
    <row r="28">
      <c r="B28" s="4" t="inlineStr">
        <is>
          <t>SPI = EV / PV</t>
        </is>
      </c>
      <c r="C28" s="2" t="inlineStr">
        <is>
          <t>Schedule Performance Index. Below 1.0 = behind schedule.</t>
        </is>
      </c>
    </row>
    <row r="29">
      <c r="B29" s="4" t="inlineStr">
        <is>
          <t>CPI = EV / AC</t>
        </is>
      </c>
      <c r="C29" s="2" t="inlineStr">
        <is>
          <t>Cost Performance Index. Below 1.0 = over budget.</t>
        </is>
      </c>
    </row>
    <row r="30">
      <c r="B30" s="4" t="inlineStr">
        <is>
          <t>EAC = BAC / CPI</t>
        </is>
      </c>
      <c r="C30" s="2" t="inlineStr">
        <is>
          <t>Estimate At Completion - forecast total cost at current efficiency.</t>
        </is>
      </c>
    </row>
    <row r="31">
      <c r="B31" s="4" t="inlineStr">
        <is>
          <t>VAC = BAC - EAC</t>
        </is>
      </c>
      <c r="C31" s="2" t="inlineStr">
        <is>
          <t>Variance At Completion. Negative = forecast overrun.</t>
        </is>
      </c>
    </row>
    <row r="32">
      <c r="B32" s="4" t="inlineStr">
        <is>
          <t>Risk exposure = P x I</t>
        </is>
      </c>
      <c r="C32" s="2" t="inlineStr">
        <is>
          <t>Probability (1-5) x Impact (1-5), giving 1-25.</t>
        </is>
      </c>
    </row>
    <row r="34">
      <c r="B34" s="3" t="inlineStr">
        <is>
          <t>RAG rules</t>
        </is>
      </c>
    </row>
    <row r="35">
      <c r="C35" s="2" t="inlineStr">
        <is>
          <t>Thresholds live on the Config sheet - change them there, never in the dashboard code. Cost RAG uses CPI, Schedule RAG uses SPI, Risk RAG uses the highest open risk exposure on the project. Overall RAG is the worst of the three.</t>
        </is>
      </c>
    </row>
    <row r="37">
      <c r="B37" s="3" t="inlineStr">
        <is>
          <t>Assumptions in the sample data</t>
        </is>
      </c>
    </row>
    <row r="38">
      <c r="C38" s="2" t="inlineStr">
        <is>
          <t>All sample rows are synthetic and generated for demonstration only. Reporting date is set on the Config sheet. Currency is USD. No figure in this workbook is drawn from a real organisation.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60" customWidth="1" min="3" max="3"/>
    <col width="18" customWidth="1" min="4" max="4"/>
    <col width="13" customWidth="1" min="5" max="5"/>
    <col width="11" customWidth="1" min="6" max="6"/>
  </cols>
  <sheetData>
    <row r="1" ht="30" customHeight="1">
      <c r="A1" s="5" t="inlineStr">
        <is>
          <t>PriorityID</t>
        </is>
      </c>
      <c r="B1" s="5" t="inlineStr">
        <is>
          <t>PriorityName</t>
        </is>
      </c>
      <c r="C1" s="5" t="inlineStr">
        <is>
          <t>Description</t>
        </is>
      </c>
      <c r="D1" s="5" t="inlineStr">
        <is>
          <t>ExecutiveSponsor</t>
        </is>
      </c>
      <c r="E1" s="5" t="inlineStr">
        <is>
          <t>WeightPct</t>
        </is>
      </c>
      <c r="F1" s="5" t="inlineStr">
        <is>
          <t>FY</t>
        </is>
      </c>
    </row>
    <row r="2">
      <c r="A2" s="6" t="inlineStr">
        <is>
          <t>PR-01</t>
        </is>
      </c>
      <c r="B2" s="6" t="inlineStr">
        <is>
          <t>Leading Country to build an AI-Enabled Economy</t>
        </is>
      </c>
      <c r="C2" s="6" t="inlineStr">
        <is>
          <t>Establish sovereign AI capability end to end — compute, energy, agreements, sector deployment and urban infrastructure — and convert it into economic output.</t>
        </is>
      </c>
      <c r="D2" s="6" t="inlineStr">
        <is>
          <t>H.E. Council Chair</t>
        </is>
      </c>
      <c r="E2" s="7" t="n">
        <v>1</v>
      </c>
      <c r="F2" s="6" t="inlineStr">
        <is>
          <t>FY2026</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4" customWidth="1" min="3" max="3"/>
    <col width="18" customWidth="1" min="4" max="4"/>
    <col width="14" customWidth="1" min="5" max="5"/>
  </cols>
  <sheetData>
    <row r="1" ht="30" customHeight="1">
      <c r="A1" s="5" t="inlineStr">
        <is>
          <t>PortfolioID</t>
        </is>
      </c>
      <c r="B1" s="5" t="inlineStr">
        <is>
          <t>PortfolioName</t>
        </is>
      </c>
      <c r="C1" s="5" t="inlineStr">
        <is>
          <t>PriorityID</t>
        </is>
      </c>
      <c r="D1" s="5" t="inlineStr">
        <is>
          <t>PortfolioOwner</t>
        </is>
      </c>
      <c r="E1" s="5" t="inlineStr">
        <is>
          <t>Department</t>
        </is>
      </c>
    </row>
    <row r="2">
      <c r="A2" s="6" t="inlineStr">
        <is>
          <t>PF-01</t>
        </is>
      </c>
      <c r="B2" s="6" t="inlineStr">
        <is>
          <t>Nationwide Foundation Layers</t>
        </is>
      </c>
      <c r="C2" s="6" t="inlineStr">
        <is>
          <t>PR-01</t>
        </is>
      </c>
      <c r="D2" s="6" t="inlineStr">
        <is>
          <t>Dr. A. Al Marri</t>
        </is>
      </c>
      <c r="E2" s="6" t="inlineStr">
        <is>
          <t>Digital Infrastructure</t>
        </is>
      </c>
    </row>
    <row r="3">
      <c r="A3" s="6" t="inlineStr">
        <is>
          <t>PF-02</t>
        </is>
      </c>
      <c r="B3" s="6" t="inlineStr">
        <is>
          <t>AI Compute &amp; B2B Agreements</t>
        </is>
      </c>
      <c r="C3" s="6" t="inlineStr">
        <is>
          <t>PR-01</t>
        </is>
      </c>
      <c r="D3" s="6" t="inlineStr">
        <is>
          <t>S. Ramaswamy</t>
        </is>
      </c>
      <c r="E3" s="6" t="inlineStr">
        <is>
          <t>AI Office</t>
        </is>
      </c>
    </row>
    <row r="4">
      <c r="A4" s="6" t="inlineStr">
        <is>
          <t>PF-03</t>
        </is>
      </c>
      <c r="B4" s="6" t="inlineStr">
        <is>
          <t>AI Use Case Developments</t>
        </is>
      </c>
      <c r="C4" s="6" t="inlineStr">
        <is>
          <t>PR-01</t>
        </is>
      </c>
      <c r="D4" s="6" t="inlineStr">
        <is>
          <t>P. Mensah</t>
        </is>
      </c>
      <c r="E4" s="6" t="inlineStr">
        <is>
          <t>AI Office</t>
        </is>
      </c>
    </row>
    <row r="5">
      <c r="A5" s="6" t="inlineStr">
        <is>
          <t>PF-04</t>
        </is>
      </c>
      <c r="B5" s="6" t="inlineStr">
        <is>
          <t>AI Smart City</t>
        </is>
      </c>
      <c r="C5" s="6" t="inlineStr">
        <is>
          <t>PR-01</t>
        </is>
      </c>
      <c r="D5" s="6" t="inlineStr">
        <is>
          <t>V. Petrova</t>
        </is>
      </c>
      <c r="E5" s="6" t="inlineStr">
        <is>
          <t>Transport &amp; Municipality</t>
        </is>
      </c>
    </row>
  </sheetData>
  <autoFilter ref="A1:E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15" customWidth="1" min="3" max="3"/>
    <col width="20" customWidth="1" min="4" max="4"/>
  </cols>
  <sheetData>
    <row r="1" ht="30" customHeight="1">
      <c r="A1" s="5" t="inlineStr">
        <is>
          <t>ProgramID</t>
        </is>
      </c>
      <c r="B1" s="5" t="inlineStr">
        <is>
          <t>ProgramName</t>
        </is>
      </c>
      <c r="C1" s="5" t="inlineStr">
        <is>
          <t>PortfolioID</t>
        </is>
      </c>
      <c r="D1" s="5" t="inlineStr">
        <is>
          <t>ProgramManager</t>
        </is>
      </c>
    </row>
    <row r="2">
      <c r="A2" s="6" t="inlineStr">
        <is>
          <t>PG-01</t>
        </is>
      </c>
      <c r="B2" s="6" t="inlineStr">
        <is>
          <t>Datacenters</t>
        </is>
      </c>
      <c r="C2" s="6" t="inlineStr">
        <is>
          <t>PF-01</t>
        </is>
      </c>
      <c r="D2" s="6" t="inlineStr">
        <is>
          <t>R. Nakamura</t>
        </is>
      </c>
    </row>
    <row r="3">
      <c r="A3" s="6" t="inlineStr">
        <is>
          <t>PG-02</t>
        </is>
      </c>
      <c r="B3" s="6" t="inlineStr">
        <is>
          <t>G2G Contracts</t>
        </is>
      </c>
      <c r="C3" s="6" t="inlineStr">
        <is>
          <t>PF-01</t>
        </is>
      </c>
      <c r="D3" s="6" t="inlineStr">
        <is>
          <t>L. Bergstrom</t>
        </is>
      </c>
    </row>
    <row r="4">
      <c r="A4" s="6" t="inlineStr">
        <is>
          <t>PG-03</t>
        </is>
      </c>
      <c r="B4" s="6" t="inlineStr">
        <is>
          <t>National Grids</t>
        </is>
      </c>
      <c r="C4" s="6" t="inlineStr">
        <is>
          <t>PF-01</t>
        </is>
      </c>
      <c r="D4" s="6" t="inlineStr">
        <is>
          <t>K. Duarte</t>
        </is>
      </c>
    </row>
    <row r="5">
      <c r="A5" s="6" t="inlineStr">
        <is>
          <t>PG-04</t>
        </is>
      </c>
      <c r="B5" s="6" t="inlineStr">
        <is>
          <t>Compute Capacity &amp; Allocation</t>
        </is>
      </c>
      <c r="C5" s="6" t="inlineStr">
        <is>
          <t>PF-02</t>
        </is>
      </c>
      <c r="D5" s="6" t="inlineStr">
        <is>
          <t>T. Ivanova</t>
        </is>
      </c>
    </row>
    <row r="6">
      <c r="A6" s="6" t="inlineStr">
        <is>
          <t>PG-05</t>
        </is>
      </c>
      <c r="B6" s="6" t="inlineStr">
        <is>
          <t>Strategic Vendor &amp; OEM Agreements</t>
        </is>
      </c>
      <c r="C6" s="6" t="inlineStr">
        <is>
          <t>PF-02</t>
        </is>
      </c>
      <c r="D6" s="6" t="inlineStr">
        <is>
          <t>H. Lindqvist</t>
        </is>
      </c>
    </row>
    <row r="7">
      <c r="A7" s="6" t="inlineStr">
        <is>
          <t>PG-06</t>
        </is>
      </c>
      <c r="B7" s="6" t="inlineStr">
        <is>
          <t>Hyperscaler &amp; Cloud Partnerships</t>
        </is>
      </c>
      <c r="C7" s="6" t="inlineStr">
        <is>
          <t>PF-02</t>
        </is>
      </c>
      <c r="D7" s="6" t="inlineStr">
        <is>
          <t>J. Alvarez</t>
        </is>
      </c>
    </row>
    <row r="8">
      <c r="A8" s="6" t="inlineStr">
        <is>
          <t>PG-07</t>
        </is>
      </c>
      <c r="B8" s="6" t="inlineStr">
        <is>
          <t>Sovereign Model Programme</t>
        </is>
      </c>
      <c r="C8" s="6" t="inlineStr">
        <is>
          <t>PF-02</t>
        </is>
      </c>
      <c r="D8" s="6" t="inlineStr">
        <is>
          <t>C. Nwosu</t>
        </is>
      </c>
    </row>
    <row r="9">
      <c r="A9" s="6" t="inlineStr">
        <is>
          <t>PG-08</t>
        </is>
      </c>
      <c r="B9" s="6" t="inlineStr">
        <is>
          <t>Government Services AI</t>
        </is>
      </c>
      <c r="C9" s="6" t="inlineStr">
        <is>
          <t>PF-03</t>
        </is>
      </c>
      <c r="D9" s="6" t="inlineStr">
        <is>
          <t>N. Haddad</t>
        </is>
      </c>
    </row>
    <row r="10">
      <c r="A10" s="6" t="inlineStr">
        <is>
          <t>PG-09</t>
        </is>
      </c>
      <c r="B10" s="6" t="inlineStr">
        <is>
          <t>Healthcare AI</t>
        </is>
      </c>
      <c r="C10" s="6" t="inlineStr">
        <is>
          <t>PF-03</t>
        </is>
      </c>
      <c r="D10" s="6" t="inlineStr">
        <is>
          <t>Dr. F. Rossi</t>
        </is>
      </c>
    </row>
    <row r="11">
      <c r="A11" s="6" t="inlineStr">
        <is>
          <t>PG-10</t>
        </is>
      </c>
      <c r="B11" s="6" t="inlineStr">
        <is>
          <t>Education &amp; Workforce AI</t>
        </is>
      </c>
      <c r="C11" s="6" t="inlineStr">
        <is>
          <t>PF-03</t>
        </is>
      </c>
      <c r="D11" s="6" t="inlineStr">
        <is>
          <t>G. Tanaka</t>
        </is>
      </c>
    </row>
    <row r="12">
      <c r="A12" s="6" t="inlineStr">
        <is>
          <t>PG-11</t>
        </is>
      </c>
      <c r="B12" s="6" t="inlineStr">
        <is>
          <t>Industry &amp; Energy AI</t>
        </is>
      </c>
      <c r="C12" s="6" t="inlineStr">
        <is>
          <t>PF-03</t>
        </is>
      </c>
      <c r="D12" s="6" t="inlineStr">
        <is>
          <t>R. Bhatt</t>
        </is>
      </c>
    </row>
    <row r="13">
      <c r="A13" s="6" t="inlineStr">
        <is>
          <t>PG-12</t>
        </is>
      </c>
      <c r="B13" s="6" t="inlineStr">
        <is>
          <t>Financial Services &amp; RegTech AI</t>
        </is>
      </c>
      <c r="C13" s="6" t="inlineStr">
        <is>
          <t>PF-03</t>
        </is>
      </c>
      <c r="D13" s="6" t="inlineStr">
        <is>
          <t>L. Moreau</t>
        </is>
      </c>
    </row>
    <row r="14">
      <c r="A14" s="6" t="inlineStr">
        <is>
          <t>PG-13</t>
        </is>
      </c>
      <c r="B14" s="6" t="inlineStr">
        <is>
          <t>Urban Digital Twin</t>
        </is>
      </c>
      <c r="C14" s="6" t="inlineStr">
        <is>
          <t>PF-04</t>
        </is>
      </c>
      <c r="D14" s="6" t="inlineStr">
        <is>
          <t>I. Fernandes</t>
        </is>
      </c>
    </row>
    <row r="15">
      <c r="A15" s="6" t="inlineStr">
        <is>
          <t>PG-14</t>
        </is>
      </c>
      <c r="B15" s="6" t="inlineStr">
        <is>
          <t>Intelligent Mobility</t>
        </is>
      </c>
      <c r="C15" s="6" t="inlineStr">
        <is>
          <t>PF-04</t>
        </is>
      </c>
      <c r="D15" s="6" t="inlineStr">
        <is>
          <t>M. Osei</t>
        </is>
      </c>
    </row>
    <row r="16">
      <c r="A16" s="6" t="inlineStr">
        <is>
          <t>PG-15</t>
        </is>
      </c>
      <c r="B16" s="6" t="inlineStr">
        <is>
          <t>Public Safety &amp; Emergency AI</t>
        </is>
      </c>
      <c r="C16" s="6" t="inlineStr">
        <is>
          <t>PF-04</t>
        </is>
      </c>
      <c r="D16" s="6" t="inlineStr">
        <is>
          <t>B. Okafor</t>
        </is>
      </c>
    </row>
    <row r="17">
      <c r="A17" s="6" t="inlineStr">
        <is>
          <t>PG-16</t>
        </is>
      </c>
      <c r="B17" s="6" t="inlineStr">
        <is>
          <t>Smart Utilities &amp; Buildings</t>
        </is>
      </c>
      <c r="C17" s="6" t="inlineStr">
        <is>
          <t>PF-04</t>
        </is>
      </c>
      <c r="D17" s="6" t="inlineStr">
        <is>
          <t>D. Kaur</t>
        </is>
      </c>
    </row>
    <row r="18">
      <c r="A18" s="6" t="inlineStr">
        <is>
          <t>PG-17</t>
        </is>
      </c>
      <c r="B18" s="6" t="inlineStr">
        <is>
          <t>Citizen Experience &amp; Digital ID</t>
        </is>
      </c>
      <c r="C18" s="6" t="inlineStr">
        <is>
          <t>PF-04</t>
        </is>
      </c>
      <c r="D18" s="6" t="inlineStr">
        <is>
          <t>E. Castellani</t>
        </is>
      </c>
    </row>
  </sheetData>
  <autoFilter ref="A1:D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5"/>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13" customWidth="1" min="3" max="3"/>
    <col width="18" customWidth="1" min="4" max="4"/>
    <col width="14" customWidth="1" min="5" max="5"/>
    <col width="24" customWidth="1" min="6" max="6"/>
    <col width="11" customWidth="1" min="7" max="7"/>
    <col width="13" customWidth="1" min="8" max="8"/>
    <col width="18" customWidth="1" min="9" max="9"/>
    <col width="18" customWidth="1" min="10" max="10"/>
    <col width="19" customWidth="1" min="11" max="11"/>
    <col width="16" customWidth="1" min="12" max="12"/>
    <col width="14" customWidth="1" min="13" max="13"/>
    <col width="14" customWidth="1" min="14" max="14"/>
    <col width="14" customWidth="1" min="15" max="15"/>
    <col width="16" customWidth="1" min="16" max="16"/>
    <col width="46" customWidth="1" min="17" max="17"/>
    <col width="20" customWidth="1" min="18" max="18"/>
    <col width="16" customWidth="1" min="19" max="19"/>
    <col width="11" customWidth="1" min="20" max="20"/>
    <col width="11" customWidth="1" min="21" max="21"/>
    <col width="11" customWidth="1" min="22" max="22"/>
    <col width="11" customWidth="1" min="23" max="23"/>
    <col width="12" customWidth="1" min="24" max="24"/>
  </cols>
  <sheetData>
    <row r="1" ht="30" customHeight="1">
      <c r="A1" s="5" t="inlineStr">
        <is>
          <t>ProjectID</t>
        </is>
      </c>
      <c r="B1" s="5" t="inlineStr">
        <is>
          <t>ProjectName</t>
        </is>
      </c>
      <c r="C1" s="5" t="inlineStr">
        <is>
          <t>ProgramID</t>
        </is>
      </c>
      <c r="D1" s="5" t="inlineStr">
        <is>
          <t>ProjectManager</t>
        </is>
      </c>
      <c r="E1" s="5" t="inlineStr">
        <is>
          <t>Department</t>
        </is>
      </c>
      <c r="F1" s="5" t="inlineStr">
        <is>
          <t>Phase</t>
        </is>
      </c>
      <c r="G1" s="5" t="inlineStr">
        <is>
          <t>Status</t>
        </is>
      </c>
      <c r="H1" s="5" t="inlineStr">
        <is>
          <t>StartDate</t>
        </is>
      </c>
      <c r="I1" s="5" t="inlineStr">
        <is>
          <t>BaselineFinish</t>
        </is>
      </c>
      <c r="J1" s="5" t="inlineStr">
        <is>
          <t>ForecastFinish</t>
        </is>
      </c>
      <c r="K1" s="5" t="inlineStr">
        <is>
          <t>PercentComplete</t>
        </is>
      </c>
      <c r="L1" s="5" t="inlineStr">
        <is>
          <t>BudgetAtCompletion</t>
        </is>
      </c>
      <c r="M1" s="5" t="inlineStr">
        <is>
          <t>PlannedValue</t>
        </is>
      </c>
      <c r="N1" s="5" t="inlineStr">
        <is>
          <t>EarnedValue</t>
        </is>
      </c>
      <c r="O1" s="5" t="inlineStr">
        <is>
          <t>ActualCost</t>
        </is>
      </c>
      <c r="P1" s="5" t="inlineStr">
        <is>
          <t>Sponsor</t>
        </is>
      </c>
      <c r="Q1" s="5" t="inlineStr">
        <is>
          <t>BusinessCase</t>
        </is>
      </c>
      <c r="R1" s="8" t="inlineStr">
        <is>
          <t>ScheduleVariance</t>
        </is>
      </c>
      <c r="S1" s="8" t="inlineStr">
        <is>
          <t>CostVariance</t>
        </is>
      </c>
      <c r="T1" s="8" t="inlineStr">
        <is>
          <t>SPI</t>
        </is>
      </c>
      <c r="U1" s="8" t="inlineStr">
        <is>
          <t>CPI</t>
        </is>
      </c>
      <c r="V1" s="8" t="inlineStr">
        <is>
          <t>EAC</t>
        </is>
      </c>
      <c r="W1" s="8" t="inlineStr">
        <is>
          <t>VAC</t>
        </is>
      </c>
      <c r="X1" s="8" t="inlineStr">
        <is>
          <t>SlipDays</t>
        </is>
      </c>
    </row>
    <row r="2">
      <c r="A2" s="6" t="inlineStr">
        <is>
          <t>PJ-001</t>
        </is>
      </c>
      <c r="B2" s="6" t="inlineStr">
        <is>
          <t>200MW Tier III Facility — Thor</t>
        </is>
      </c>
      <c r="C2" s="6" t="inlineStr">
        <is>
          <t>PG-01</t>
        </is>
      </c>
      <c r="D2" s="6" t="inlineStr">
        <is>
          <t>R. Nakamura</t>
        </is>
      </c>
      <c r="E2" s="6" t="inlineStr">
        <is>
          <t>Digital Infrastructure</t>
        </is>
      </c>
      <c r="F2" s="6" t="inlineStr">
        <is>
          <t>4 - Monitoring &amp; Controlling</t>
        </is>
      </c>
      <c r="G2" s="6" t="inlineStr">
        <is>
          <t>Active</t>
        </is>
      </c>
      <c r="H2" s="9" t="inlineStr">
        <is>
          <t>2023-06-15</t>
        </is>
      </c>
      <c r="I2" s="9" t="inlineStr">
        <is>
          <t>2027-07-10</t>
        </is>
      </c>
      <c r="J2" s="9" t="inlineStr">
        <is>
          <t>2027-09-08</t>
        </is>
      </c>
      <c r="K2" s="7" t="n">
        <v>0.7175</v>
      </c>
      <c r="L2" s="10" t="n">
        <v>2064600000</v>
      </c>
      <c r="M2" s="10" t="n">
        <v>1608887483.18</v>
      </c>
      <c r="N2" s="10" t="n">
        <v>1481304141.29</v>
      </c>
      <c r="O2" s="10" t="n">
        <v>1214183722.37</v>
      </c>
      <c r="P2" s="6" t="inlineStr">
        <is>
          <t>Dr. A. Al Marri</t>
        </is>
      </c>
      <c r="Q2" s="6" t="inlineStr">
        <is>
          <t>Sovereign compute, energy and connectivity substrate the whole economy runs on. Delivered under Datacenters.</t>
        </is>
      </c>
      <c r="R2" s="11">
        <f>N2-M2</f>
        <v/>
      </c>
      <c r="S2" s="11">
        <f>N2-O2</f>
        <v/>
      </c>
      <c r="T2" s="12">
        <f>IFERROR(N2/M2,"")</f>
        <v/>
      </c>
      <c r="U2" s="12">
        <f>IFERROR(N2/O2,"")</f>
        <v/>
      </c>
      <c r="V2" s="11">
        <f>IFERROR(L2/(N2/O2),"")</f>
        <v/>
      </c>
      <c r="W2" s="11">
        <f>IFERROR(L2-(L2/(N2/O2)),"")</f>
        <v/>
      </c>
      <c r="X2" s="13">
        <f>IFERROR(DATEDIF(I2,J2,"d"),0)</f>
        <v/>
      </c>
    </row>
    <row r="3">
      <c r="A3" s="6" t="inlineStr">
        <is>
          <t>PJ-002</t>
        </is>
      </c>
      <c r="B3" s="6" t="inlineStr">
        <is>
          <t>1GW Liquid-Cooled Facility — IronMan</t>
        </is>
      </c>
      <c r="C3" s="6" t="inlineStr">
        <is>
          <t>PG-01</t>
        </is>
      </c>
      <c r="D3" s="6" t="inlineStr">
        <is>
          <t>R. Nakamura</t>
        </is>
      </c>
      <c r="E3" s="6" t="inlineStr">
        <is>
          <t>Digital Infrastructure</t>
        </is>
      </c>
      <c r="F3" s="6" t="inlineStr">
        <is>
          <t>1 - Initiating</t>
        </is>
      </c>
      <c r="G3" s="6" t="inlineStr">
        <is>
          <t>Active</t>
        </is>
      </c>
      <c r="H3" s="9" t="inlineStr">
        <is>
          <t>2023-12-28</t>
        </is>
      </c>
      <c r="I3" s="9" t="inlineStr">
        <is>
          <t>2027-03-03</t>
        </is>
      </c>
      <c r="J3" s="9" t="inlineStr">
        <is>
          <t>2027-04-01</t>
        </is>
      </c>
      <c r="K3" s="7" t="n">
        <v>0.09279999999999999</v>
      </c>
      <c r="L3" s="10" t="n">
        <v>7797000000</v>
      </c>
      <c r="M3" s="10" t="n">
        <v>779700000</v>
      </c>
      <c r="N3" s="10" t="n">
        <v>723924991.97</v>
      </c>
      <c r="O3" s="10" t="n">
        <v>818966675.28</v>
      </c>
      <c r="P3" s="6" t="inlineStr">
        <is>
          <t>Dr. A. Al Marri</t>
        </is>
      </c>
      <c r="Q3" s="6" t="inlineStr">
        <is>
          <t>Sovereign compute, energy and connectivity substrate the whole economy runs on. Delivered under Datacenters.</t>
        </is>
      </c>
      <c r="R3" s="11">
        <f>N3-M3</f>
        <v/>
      </c>
      <c r="S3" s="11">
        <f>N3-O3</f>
        <v/>
      </c>
      <c r="T3" s="12">
        <f>IFERROR(N3/M3,"")</f>
        <v/>
      </c>
      <c r="U3" s="12">
        <f>IFERROR(N3/O3,"")</f>
        <v/>
      </c>
      <c r="V3" s="11">
        <f>IFERROR(L3/(N3/O3),"")</f>
        <v/>
      </c>
      <c r="W3" s="11">
        <f>IFERROR(L3-(L3/(N3/O3)),"")</f>
        <v/>
      </c>
      <c r="X3" s="13">
        <f>IFERROR(DATEDIF(I3,J3,"d"),0)</f>
        <v/>
      </c>
    </row>
    <row r="4">
      <c r="A4" s="6" t="inlineStr">
        <is>
          <t>PJ-003</t>
        </is>
      </c>
      <c r="B4" s="6" t="inlineStr">
        <is>
          <t>500MW Tier IV Facility — Valkyrie</t>
        </is>
      </c>
      <c r="C4" s="6" t="inlineStr">
        <is>
          <t>PG-01</t>
        </is>
      </c>
      <c r="D4" s="6" t="inlineStr">
        <is>
          <t>R. Nakamura</t>
        </is>
      </c>
      <c r="E4" s="6" t="inlineStr">
        <is>
          <t>Foreign Affairs &amp; Trade</t>
        </is>
      </c>
      <c r="F4" s="6" t="inlineStr">
        <is>
          <t>2 - Planning</t>
        </is>
      </c>
      <c r="G4" s="6" t="inlineStr">
        <is>
          <t>Active</t>
        </is>
      </c>
      <c r="H4" s="9" t="inlineStr">
        <is>
          <t>2024-03-19</t>
        </is>
      </c>
      <c r="I4" s="9" t="inlineStr">
        <is>
          <t>2028-03-03</t>
        </is>
      </c>
      <c r="J4" s="9" t="inlineStr">
        <is>
          <t>2028-03-16</t>
        </is>
      </c>
      <c r="K4" s="7" t="n">
        <v>0.2818</v>
      </c>
      <c r="L4" s="10" t="n">
        <v>2373800000</v>
      </c>
      <c r="M4" s="10" t="n">
        <v>664664000</v>
      </c>
      <c r="N4" s="10" t="n">
        <v>668880448.01</v>
      </c>
      <c r="O4" s="10" t="n">
        <v>590041331.7</v>
      </c>
      <c r="P4" s="6" t="inlineStr">
        <is>
          <t>Dr. A. Al Marri</t>
        </is>
      </c>
      <c r="Q4" s="6" t="inlineStr">
        <is>
          <t>Sovereign compute, energy and connectivity substrate the whole economy runs on. Delivered under Datacenters.</t>
        </is>
      </c>
      <c r="R4" s="11">
        <f>N4-M4</f>
        <v/>
      </c>
      <c r="S4" s="11">
        <f>N4-O4</f>
        <v/>
      </c>
      <c r="T4" s="12">
        <f>IFERROR(N4/M4,"")</f>
        <v/>
      </c>
      <c r="U4" s="12">
        <f>IFERROR(N4/O4,"")</f>
        <v/>
      </c>
      <c r="V4" s="11">
        <f>IFERROR(L4/(N4/O4),"")</f>
        <v/>
      </c>
      <c r="W4" s="11">
        <f>IFERROR(L4-(L4/(N4/O4)),"")</f>
        <v/>
      </c>
      <c r="X4" s="13">
        <f>IFERROR(DATEDIF(I4,J4,"d"),0)</f>
        <v/>
      </c>
    </row>
    <row r="5">
      <c r="A5" s="6" t="inlineStr">
        <is>
          <t>PJ-004</t>
        </is>
      </c>
      <c r="B5" s="6" t="inlineStr">
        <is>
          <t>Modular Edge DC Cluster — Sentinel (12 sites)</t>
        </is>
      </c>
      <c r="C5" s="6" t="inlineStr">
        <is>
          <t>PG-01</t>
        </is>
      </c>
      <c r="D5" s="6" t="inlineStr">
        <is>
          <t>R. Nakamura</t>
        </is>
      </c>
      <c r="E5" s="6" t="inlineStr">
        <is>
          <t>Digital Infrastructure</t>
        </is>
      </c>
      <c r="F5" s="6" t="inlineStr">
        <is>
          <t>2 - Planning</t>
        </is>
      </c>
      <c r="G5" s="6" t="inlineStr">
        <is>
          <t>Active</t>
        </is>
      </c>
      <c r="H5" s="9" t="inlineStr">
        <is>
          <t>2025-04-18</t>
        </is>
      </c>
      <c r="I5" s="9" t="inlineStr">
        <is>
          <t>2028-09-05</t>
        </is>
      </c>
      <c r="J5" s="9" t="inlineStr">
        <is>
          <t>2028-10-02</t>
        </is>
      </c>
      <c r="K5" s="7" t="n">
        <v>0.2727</v>
      </c>
      <c r="L5" s="10" t="n">
        <v>267400000</v>
      </c>
      <c r="M5" s="10" t="n">
        <v>74872000</v>
      </c>
      <c r="N5" s="10" t="n">
        <v>72924129.15000001</v>
      </c>
      <c r="O5" s="10" t="n">
        <v>64372965.05</v>
      </c>
      <c r="P5" s="6" t="inlineStr">
        <is>
          <t>Dr. A. Al Marri</t>
        </is>
      </c>
      <c r="Q5" s="6" t="inlineStr">
        <is>
          <t>Sovereign compute, energy and connectivity substrate the whole economy runs on. Delivered under Datacenters.</t>
        </is>
      </c>
      <c r="R5" s="11">
        <f>N5-M5</f>
        <v/>
      </c>
      <c r="S5" s="11">
        <f>N5-O5</f>
        <v/>
      </c>
      <c r="T5" s="12">
        <f>IFERROR(N5/M5,"")</f>
        <v/>
      </c>
      <c r="U5" s="12">
        <f>IFERROR(N5/O5,"")</f>
        <v/>
      </c>
      <c r="V5" s="11">
        <f>IFERROR(L5/(N5/O5),"")</f>
        <v/>
      </c>
      <c r="W5" s="11">
        <f>IFERROR(L5-(L5/(N5/O5)),"")</f>
        <v/>
      </c>
      <c r="X5" s="13">
        <f>IFERROR(DATEDIF(I5,J5,"d"),0)</f>
        <v/>
      </c>
    </row>
    <row r="6">
      <c r="A6" s="6" t="inlineStr">
        <is>
          <t>PJ-005</t>
        </is>
      </c>
      <c r="B6" s="6" t="inlineStr">
        <is>
          <t>Subsea Cable Landing &amp; DC Interconnect — Poseidon</t>
        </is>
      </c>
      <c r="C6" s="6" t="inlineStr">
        <is>
          <t>PG-01</t>
        </is>
      </c>
      <c r="D6" s="6" t="inlineStr">
        <is>
          <t>R. Nakamura</t>
        </is>
      </c>
      <c r="E6" s="6" t="inlineStr">
        <is>
          <t>Energy &amp; Utilities</t>
        </is>
      </c>
      <c r="F6" s="6" t="inlineStr">
        <is>
          <t>1 - Initiating</t>
        </is>
      </c>
      <c r="G6" s="6" t="inlineStr">
        <is>
          <t>Active</t>
        </is>
      </c>
      <c r="H6" s="9" t="inlineStr">
        <is>
          <t>2025-09-04</t>
        </is>
      </c>
      <c r="I6" s="9" t="inlineStr">
        <is>
          <t>2027-07-14</t>
        </is>
      </c>
      <c r="J6" s="9" t="inlineStr">
        <is>
          <t>2027-07-31</t>
        </is>
      </c>
      <c r="K6" s="7" t="n">
        <v>0.092</v>
      </c>
      <c r="L6" s="10" t="n">
        <v>173400000</v>
      </c>
      <c r="M6" s="10" t="n">
        <v>17340000</v>
      </c>
      <c r="N6" s="10" t="n">
        <v>15960650.75</v>
      </c>
      <c r="O6" s="10" t="n">
        <v>16468064.28</v>
      </c>
      <c r="P6" s="6" t="inlineStr">
        <is>
          <t>Dr. A. Al Marri</t>
        </is>
      </c>
      <c r="Q6" s="6" t="inlineStr">
        <is>
          <t>Sovereign compute, energy and connectivity substrate the whole economy runs on. Delivered under Datacenters.</t>
        </is>
      </c>
      <c r="R6" s="11">
        <f>N6-M6</f>
        <v/>
      </c>
      <c r="S6" s="11">
        <f>N6-O6</f>
        <v/>
      </c>
      <c r="T6" s="12">
        <f>IFERROR(N6/M6,"")</f>
        <v/>
      </c>
      <c r="U6" s="12">
        <f>IFERROR(N6/O6,"")</f>
        <v/>
      </c>
      <c r="V6" s="11">
        <f>IFERROR(L6/(N6/O6),"")</f>
        <v/>
      </c>
      <c r="W6" s="11">
        <f>IFERROR(L6-(L6/(N6/O6)),"")</f>
        <v/>
      </c>
      <c r="X6" s="13">
        <f>IFERROR(DATEDIF(I6,J6,"d"),0)</f>
        <v/>
      </c>
    </row>
    <row r="7">
      <c r="A7" s="6" t="inlineStr">
        <is>
          <t>PJ-006</t>
        </is>
      </c>
      <c r="B7" s="6" t="inlineStr">
        <is>
          <t>Sovereign Cloud Region — Asgard</t>
        </is>
      </c>
      <c r="C7" s="6" t="inlineStr">
        <is>
          <t>PG-01</t>
        </is>
      </c>
      <c r="D7" s="6" t="inlineStr">
        <is>
          <t>R. Nakamura</t>
        </is>
      </c>
      <c r="E7" s="6" t="inlineStr">
        <is>
          <t>Digital Infrastructure</t>
        </is>
      </c>
      <c r="F7" s="6" t="inlineStr">
        <is>
          <t>1 - Initiating</t>
        </is>
      </c>
      <c r="G7" s="6" t="inlineStr">
        <is>
          <t>Active</t>
        </is>
      </c>
      <c r="H7" s="9" t="inlineStr">
        <is>
          <t>2025-08-10</t>
        </is>
      </c>
      <c r="I7" s="9" t="inlineStr">
        <is>
          <t>2026-10-23</t>
        </is>
      </c>
      <c r="J7" s="9" t="inlineStr">
        <is>
          <t>2026-10-30</t>
        </is>
      </c>
      <c r="K7" s="7" t="n">
        <v>0.1123</v>
      </c>
      <c r="L7" s="10" t="n">
        <v>270200000</v>
      </c>
      <c r="M7" s="10" t="n">
        <v>27020000</v>
      </c>
      <c r="N7" s="10" t="n">
        <v>30335157.04</v>
      </c>
      <c r="O7" s="10" t="n">
        <v>27455368.32</v>
      </c>
      <c r="P7" s="6" t="inlineStr">
        <is>
          <t>Dr. A. Al Marri</t>
        </is>
      </c>
      <c r="Q7" s="6" t="inlineStr">
        <is>
          <t>Sovereign compute, energy and connectivity substrate the whole economy runs on. Delivered under Datacenters.</t>
        </is>
      </c>
      <c r="R7" s="11">
        <f>N7-M7</f>
        <v/>
      </c>
      <c r="S7" s="11">
        <f>N7-O7</f>
        <v/>
      </c>
      <c r="T7" s="12">
        <f>IFERROR(N7/M7,"")</f>
        <v/>
      </c>
      <c r="U7" s="12">
        <f>IFERROR(N7/O7,"")</f>
        <v/>
      </c>
      <c r="V7" s="11">
        <f>IFERROR(L7/(N7/O7),"")</f>
        <v/>
      </c>
      <c r="W7" s="11">
        <f>IFERROR(L7-(L7/(N7/O7)),"")</f>
        <v/>
      </c>
      <c r="X7" s="13">
        <f>IFERROR(DATEDIF(I7,J7,"d"),0)</f>
        <v/>
      </c>
    </row>
    <row r="8">
      <c r="A8" s="6" t="inlineStr">
        <is>
          <t>PJ-007</t>
        </is>
      </c>
      <c r="B8" s="6" t="inlineStr">
        <is>
          <t>GPU Supply Agreements — USA, India, UK</t>
        </is>
      </c>
      <c r="C8" s="6" t="inlineStr">
        <is>
          <t>PG-02</t>
        </is>
      </c>
      <c r="D8" s="6" t="inlineStr">
        <is>
          <t>L. Bergstrom</t>
        </is>
      </c>
      <c r="E8" s="6" t="inlineStr">
        <is>
          <t>Foreign Affairs &amp; Trade</t>
        </is>
      </c>
      <c r="F8" s="6" t="inlineStr">
        <is>
          <t>3 - Executing</t>
        </is>
      </c>
      <c r="G8" s="6" t="inlineStr">
        <is>
          <t>Active</t>
        </is>
      </c>
      <c r="H8" s="9" t="inlineStr">
        <is>
          <t>2026-01-29</t>
        </is>
      </c>
      <c r="I8" s="9" t="inlineStr">
        <is>
          <t>2027-03-19</t>
        </is>
      </c>
      <c r="J8" s="9" t="inlineStr">
        <is>
          <t>2027-04-14</t>
        </is>
      </c>
      <c r="K8" s="7" t="n">
        <v>0.4303</v>
      </c>
      <c r="L8" s="10" t="n">
        <v>8722900000</v>
      </c>
      <c r="M8" s="10" t="n">
        <v>4192891545.89</v>
      </c>
      <c r="N8" s="10" t="n">
        <v>3753773014.41</v>
      </c>
      <c r="O8" s="10" t="n">
        <v>3578547054.82</v>
      </c>
      <c r="P8" s="6" t="inlineStr">
        <is>
          <t>Dr. A. Al Marri</t>
        </is>
      </c>
      <c r="Q8" s="6" t="inlineStr">
        <is>
          <t>Sovereign compute, energy and connectivity substrate the whole economy runs on. Delivered under G2G Contracts.</t>
        </is>
      </c>
      <c r="R8" s="11">
        <f>N8-M8</f>
        <v/>
      </c>
      <c r="S8" s="11">
        <f>N8-O8</f>
        <v/>
      </c>
      <c r="T8" s="12">
        <f>IFERROR(N8/M8,"")</f>
        <v/>
      </c>
      <c r="U8" s="12">
        <f>IFERROR(N8/O8,"")</f>
        <v/>
      </c>
      <c r="V8" s="11">
        <f>IFERROR(L8/(N8/O8),"")</f>
        <v/>
      </c>
      <c r="W8" s="11">
        <f>IFERROR(L8-(L8/(N8/O8)),"")</f>
        <v/>
      </c>
      <c r="X8" s="13">
        <f>IFERROR(DATEDIF(I8,J8,"d"),0)</f>
        <v/>
      </c>
    </row>
    <row r="9">
      <c r="A9" s="6" t="inlineStr">
        <is>
          <t>PJ-008</t>
        </is>
      </c>
      <c r="B9" s="6" t="inlineStr">
        <is>
          <t>Cross-Continent Connectivity — EU, NA, India</t>
        </is>
      </c>
      <c r="C9" s="6" t="inlineStr">
        <is>
          <t>PG-02</t>
        </is>
      </c>
      <c r="D9" s="6" t="inlineStr">
        <is>
          <t>L. Bergstrom</t>
        </is>
      </c>
      <c r="E9" s="6" t="inlineStr">
        <is>
          <t>Foreign Affairs &amp; Trade</t>
        </is>
      </c>
      <c r="F9" s="6" t="inlineStr">
        <is>
          <t>4 - Monitoring &amp; Controlling</t>
        </is>
      </c>
      <c r="G9" s="6" t="inlineStr">
        <is>
          <t>Active</t>
        </is>
      </c>
      <c r="H9" s="9" t="inlineStr">
        <is>
          <t>2025-11-10</t>
        </is>
      </c>
      <c r="I9" s="9" t="inlineStr">
        <is>
          <t>2026-11-08</t>
        </is>
      </c>
      <c r="J9" s="9" t="inlineStr">
        <is>
          <t>2026-11-19</t>
        </is>
      </c>
      <c r="K9" s="7" t="n">
        <v>0.6664</v>
      </c>
      <c r="L9" s="10" t="n">
        <v>1483800000</v>
      </c>
      <c r="M9" s="10" t="n">
        <v>1140441322.31</v>
      </c>
      <c r="N9" s="10" t="n">
        <v>988757748.27</v>
      </c>
      <c r="O9" s="10" t="n">
        <v>1226911442.82</v>
      </c>
      <c r="P9" s="6" t="inlineStr">
        <is>
          <t>Dr. A. Al Marri</t>
        </is>
      </c>
      <c r="Q9" s="6" t="inlineStr">
        <is>
          <t>Sovereign compute, energy and connectivity substrate the whole economy runs on. Delivered under G2G Contracts.</t>
        </is>
      </c>
      <c r="R9" s="11">
        <f>N9-M9</f>
        <v/>
      </c>
      <c r="S9" s="11">
        <f>N9-O9</f>
        <v/>
      </c>
      <c r="T9" s="12">
        <f>IFERROR(N9/M9,"")</f>
        <v/>
      </c>
      <c r="U9" s="12">
        <f>IFERROR(N9/O9,"")</f>
        <v/>
      </c>
      <c r="V9" s="11">
        <f>IFERROR(L9/(N9/O9),"")</f>
        <v/>
      </c>
      <c r="W9" s="11">
        <f>IFERROR(L9-(L9/(N9/O9)),"")</f>
        <v/>
      </c>
      <c r="X9" s="13">
        <f>IFERROR(DATEDIF(I9,J9,"d"),0)</f>
        <v/>
      </c>
    </row>
    <row r="10">
      <c r="A10" s="6" t="inlineStr">
        <is>
          <t>PJ-009</t>
        </is>
      </c>
      <c r="B10" s="6" t="inlineStr">
        <is>
          <t>Export Control &amp; Chip Compliance Framework</t>
        </is>
      </c>
      <c r="C10" s="6" t="inlineStr">
        <is>
          <t>PG-02</t>
        </is>
      </c>
      <c r="D10" s="6" t="inlineStr">
        <is>
          <t>L. Bergstrom</t>
        </is>
      </c>
      <c r="E10" s="6" t="inlineStr">
        <is>
          <t>Foreign Affairs &amp; Trade</t>
        </is>
      </c>
      <c r="F10" s="6" t="inlineStr">
        <is>
          <t>5 - Closing</t>
        </is>
      </c>
      <c r="G10" s="6" t="inlineStr">
        <is>
          <t>Active</t>
        </is>
      </c>
      <c r="H10" s="9" t="inlineStr">
        <is>
          <t>2025-11-19</t>
        </is>
      </c>
      <c r="I10" s="9" t="inlineStr">
        <is>
          <t>2026-11-11</t>
        </is>
      </c>
      <c r="J10" s="9" t="inlineStr">
        <is>
          <t>2026-11-12</t>
        </is>
      </c>
      <c r="K10" s="7" t="n">
        <v>0.9</v>
      </c>
      <c r="L10" s="10" t="n">
        <v>71400000</v>
      </c>
      <c r="M10" s="10" t="n">
        <v>66402000</v>
      </c>
      <c r="N10" s="10" t="n">
        <v>64260000</v>
      </c>
      <c r="O10" s="10" t="n">
        <v>52672131.15</v>
      </c>
      <c r="P10" s="6" t="inlineStr">
        <is>
          <t>Dr. A. Al Marri</t>
        </is>
      </c>
      <c r="Q10" s="6" t="inlineStr">
        <is>
          <t>Sovereign compute, energy and connectivity substrate the whole economy runs on. Delivered under G2G Contracts.</t>
        </is>
      </c>
      <c r="R10" s="11">
        <f>N10-M10</f>
        <v/>
      </c>
      <c r="S10" s="11">
        <f>N10-O10</f>
        <v/>
      </c>
      <c r="T10" s="12">
        <f>IFERROR(N10/M10,"")</f>
        <v/>
      </c>
      <c r="U10" s="12">
        <f>IFERROR(N10/O10,"")</f>
        <v/>
      </c>
      <c r="V10" s="11">
        <f>IFERROR(L10/(N10/O10),"")</f>
        <v/>
      </c>
      <c r="W10" s="11">
        <f>IFERROR(L10-(L10/(N10/O10)),"")</f>
        <v/>
      </c>
      <c r="X10" s="13">
        <f>IFERROR(DATEDIF(I10,J10,"d"),0)</f>
        <v/>
      </c>
    </row>
    <row r="11">
      <c r="A11" s="6" t="inlineStr">
        <is>
          <t>PJ-010</t>
        </is>
      </c>
      <c r="B11" s="6" t="inlineStr">
        <is>
          <t>Bilateral AI Talent Mobility Accord</t>
        </is>
      </c>
      <c r="C11" s="6" t="inlineStr">
        <is>
          <t>PG-02</t>
        </is>
      </c>
      <c r="D11" s="6" t="inlineStr">
        <is>
          <t>L. Bergstrom</t>
        </is>
      </c>
      <c r="E11" s="6" t="inlineStr">
        <is>
          <t>Energy &amp; Utilities</t>
        </is>
      </c>
      <c r="F11" s="6" t="inlineStr">
        <is>
          <t>0 - Requested</t>
        </is>
      </c>
      <c r="G11" s="6" t="inlineStr">
        <is>
          <t>On Hold</t>
        </is>
      </c>
      <c r="H11" s="9" t="inlineStr">
        <is>
          <t>2026-05-13</t>
        </is>
      </c>
      <c r="I11" s="9" t="inlineStr">
        <is>
          <t>2027-08-22</t>
        </is>
      </c>
      <c r="J11" s="9" t="inlineStr">
        <is>
          <t>2027-09-20</t>
        </is>
      </c>
      <c r="K11" s="7" t="n">
        <v>0</v>
      </c>
      <c r="L11" s="10" t="n">
        <v>15700000</v>
      </c>
      <c r="M11" s="10" t="n">
        <v>0</v>
      </c>
      <c r="N11" s="10" t="n">
        <v>0</v>
      </c>
      <c r="O11" s="10" t="n">
        <v>0</v>
      </c>
      <c r="P11" s="6" t="inlineStr">
        <is>
          <t>Dr. A. Al Marri</t>
        </is>
      </c>
      <c r="Q11" s="6" t="inlineStr">
        <is>
          <t>Sovereign compute, energy and connectivity substrate the whole economy runs on. Delivered under G2G Contracts.</t>
        </is>
      </c>
      <c r="R11" s="11">
        <f>N11-M11</f>
        <v/>
      </c>
      <c r="S11" s="11">
        <f>N11-O11</f>
        <v/>
      </c>
      <c r="T11" s="12">
        <f>IFERROR(N11/M11,"")</f>
        <v/>
      </c>
      <c r="U11" s="12">
        <f>IFERROR(N11/O11,"")</f>
        <v/>
      </c>
      <c r="V11" s="11">
        <f>IFERROR(L11/(N11/O11),"")</f>
        <v/>
      </c>
      <c r="W11" s="11">
        <f>IFERROR(L11-(L11/(N11/O11)),"")</f>
        <v/>
      </c>
      <c r="X11" s="13">
        <f>IFERROR(DATEDIF(I11,J11,"d"),0)</f>
        <v/>
      </c>
    </row>
    <row r="12">
      <c r="A12" s="6" t="inlineStr">
        <is>
          <t>PJ-011</t>
        </is>
      </c>
      <c r="B12" s="6" t="inlineStr">
        <is>
          <t>Joint Sovereign AI Research Pact — Korea, Japan</t>
        </is>
      </c>
      <c r="C12" s="6" t="inlineStr">
        <is>
          <t>PG-02</t>
        </is>
      </c>
      <c r="D12" s="6" t="inlineStr">
        <is>
          <t>L. Bergstrom</t>
        </is>
      </c>
      <c r="E12" s="6" t="inlineStr">
        <is>
          <t>Foreign Affairs &amp; Trade</t>
        </is>
      </c>
      <c r="F12" s="6" t="inlineStr">
        <is>
          <t>4 - Monitoring &amp; Controlling</t>
        </is>
      </c>
      <c r="G12" s="6" t="inlineStr">
        <is>
          <t>Active</t>
        </is>
      </c>
      <c r="H12" s="9" t="inlineStr">
        <is>
          <t>2026-05-14</t>
        </is>
      </c>
      <c r="I12" s="9" t="inlineStr">
        <is>
          <t>2026-12-21</t>
        </is>
      </c>
      <c r="J12" s="9" t="inlineStr">
        <is>
          <t>2027-01-12</t>
        </is>
      </c>
      <c r="K12" s="7" t="n">
        <v>0.4274</v>
      </c>
      <c r="L12" s="10" t="n">
        <v>133000000</v>
      </c>
      <c r="M12" s="10" t="n">
        <v>56570135.75</v>
      </c>
      <c r="N12" s="10" t="n">
        <v>56847395.48</v>
      </c>
      <c r="O12" s="10" t="n">
        <v>49201196.35</v>
      </c>
      <c r="P12" s="6" t="inlineStr">
        <is>
          <t>Dr. A. Al Marri</t>
        </is>
      </c>
      <c r="Q12" s="6" t="inlineStr">
        <is>
          <t>Sovereign compute, energy and connectivity substrate the whole economy runs on. Delivered under G2G Contracts.</t>
        </is>
      </c>
      <c r="R12" s="11">
        <f>N12-M12</f>
        <v/>
      </c>
      <c r="S12" s="11">
        <f>N12-O12</f>
        <v/>
      </c>
      <c r="T12" s="12">
        <f>IFERROR(N12/M12,"")</f>
        <v/>
      </c>
      <c r="U12" s="12">
        <f>IFERROR(N12/O12,"")</f>
        <v/>
      </c>
      <c r="V12" s="11">
        <f>IFERROR(L12/(N12/O12),"")</f>
        <v/>
      </c>
      <c r="W12" s="11">
        <f>IFERROR(L12-(L12/(N12/O12)),"")</f>
        <v/>
      </c>
      <c r="X12" s="13">
        <f>IFERROR(DATEDIF(I12,J12,"d"),0)</f>
        <v/>
      </c>
    </row>
    <row r="13">
      <c r="A13" s="6" t="inlineStr">
        <is>
          <t>PJ-012</t>
        </is>
      </c>
      <c r="B13" s="6" t="inlineStr">
        <is>
          <t>Cross-Border Data Adequacy Agreements</t>
        </is>
      </c>
      <c r="C13" s="6" t="inlineStr">
        <is>
          <t>PG-02</t>
        </is>
      </c>
      <c r="D13" s="6" t="inlineStr">
        <is>
          <t>L. Bergstrom</t>
        </is>
      </c>
      <c r="E13" s="6" t="inlineStr">
        <is>
          <t>AI Office</t>
        </is>
      </c>
      <c r="F13" s="6" t="inlineStr">
        <is>
          <t>3 - Executing</t>
        </is>
      </c>
      <c r="G13" s="6" t="inlineStr">
        <is>
          <t>Active</t>
        </is>
      </c>
      <c r="H13" s="9" t="inlineStr">
        <is>
          <t>2026-02-17</t>
        </is>
      </c>
      <c r="I13" s="9" t="inlineStr">
        <is>
          <t>2027-01-12</t>
        </is>
      </c>
      <c r="J13" s="9" t="inlineStr">
        <is>
          <t>2027-01-27</t>
        </is>
      </c>
      <c r="K13" s="7" t="n">
        <v>0.491</v>
      </c>
      <c r="L13" s="10" t="n">
        <v>12400000</v>
      </c>
      <c r="M13" s="10" t="n">
        <v>6784194.53</v>
      </c>
      <c r="N13" s="10" t="n">
        <v>6088738.02</v>
      </c>
      <c r="O13" s="10" t="n">
        <v>7784683.72</v>
      </c>
      <c r="P13" s="6" t="inlineStr">
        <is>
          <t>Dr. A. Al Marri</t>
        </is>
      </c>
      <c r="Q13" s="6" t="inlineStr">
        <is>
          <t>Sovereign compute, energy and connectivity substrate the whole economy runs on. Delivered under G2G Contracts.</t>
        </is>
      </c>
      <c r="R13" s="11">
        <f>N13-M13</f>
        <v/>
      </c>
      <c r="S13" s="11">
        <f>N13-O13</f>
        <v/>
      </c>
      <c r="T13" s="12">
        <f>IFERROR(N13/M13,"")</f>
        <v/>
      </c>
      <c r="U13" s="12">
        <f>IFERROR(N13/O13,"")</f>
        <v/>
      </c>
      <c r="V13" s="11">
        <f>IFERROR(L13/(N13/O13),"")</f>
        <v/>
      </c>
      <c r="W13" s="11">
        <f>IFERROR(L13-(L13/(N13/O13)),"")</f>
        <v/>
      </c>
      <c r="X13" s="13">
        <f>IFERROR(DATEDIF(I13,J13,"d"),0)</f>
        <v/>
      </c>
    </row>
    <row r="14">
      <c r="A14" s="6" t="inlineStr">
        <is>
          <t>PJ-013</t>
        </is>
      </c>
      <c r="B14" s="6" t="inlineStr">
        <is>
          <t>4 Freezone AI Campuses Across Country</t>
        </is>
      </c>
      <c r="C14" s="6" t="inlineStr">
        <is>
          <t>PG-03</t>
        </is>
      </c>
      <c r="D14" s="6" t="inlineStr">
        <is>
          <t>K. Duarte</t>
        </is>
      </c>
      <c r="E14" s="6" t="inlineStr">
        <is>
          <t>Energy &amp; Utilities</t>
        </is>
      </c>
      <c r="F14" s="6" t="inlineStr">
        <is>
          <t>4 - Monitoring &amp; Controlling</t>
        </is>
      </c>
      <c r="G14" s="6" t="inlineStr">
        <is>
          <t>Active</t>
        </is>
      </c>
      <c r="H14" s="9" t="inlineStr">
        <is>
          <t>2025-11-14</t>
        </is>
      </c>
      <c r="I14" s="9" t="inlineStr">
        <is>
          <t>2028-04-13</t>
        </is>
      </c>
      <c r="J14" s="9" t="inlineStr">
        <is>
          <t>2028-07-30</t>
        </is>
      </c>
      <c r="K14" s="7" t="n">
        <v>0.2059</v>
      </c>
      <c r="L14" s="10" t="n">
        <v>4413800000</v>
      </c>
      <c r="M14" s="10" t="n">
        <v>1377746878.55</v>
      </c>
      <c r="N14" s="10" t="n">
        <v>908651570.08</v>
      </c>
      <c r="O14" s="10" t="n">
        <v>775360461.72</v>
      </c>
      <c r="P14" s="6" t="inlineStr">
        <is>
          <t>Dr. A. Al Marri</t>
        </is>
      </c>
      <c r="Q14" s="6" t="inlineStr">
        <is>
          <t>Sovereign compute, energy and connectivity substrate the whole economy runs on. Delivered under National Grids.</t>
        </is>
      </c>
      <c r="R14" s="11">
        <f>N14-M14</f>
        <v/>
      </c>
      <c r="S14" s="11">
        <f>N14-O14</f>
        <v/>
      </c>
      <c r="T14" s="12">
        <f>IFERROR(N14/M14,"")</f>
        <v/>
      </c>
      <c r="U14" s="12">
        <f>IFERROR(N14/O14,"")</f>
        <v/>
      </c>
      <c r="V14" s="11">
        <f>IFERROR(L14/(N14/O14),"")</f>
        <v/>
      </c>
      <c r="W14" s="11">
        <f>IFERROR(L14-(L14/(N14/O14)),"")</f>
        <v/>
      </c>
      <c r="X14" s="13">
        <f>IFERROR(DATEDIF(I14,J14,"d"),0)</f>
        <v/>
      </c>
    </row>
    <row r="15">
      <c r="A15" s="6" t="inlineStr">
        <is>
          <t>PJ-014</t>
        </is>
      </c>
      <c r="B15" s="6" t="inlineStr">
        <is>
          <t>Powergrid Upgrade — Site A and Site B</t>
        </is>
      </c>
      <c r="C15" s="6" t="inlineStr">
        <is>
          <t>PG-03</t>
        </is>
      </c>
      <c r="D15" s="6" t="inlineStr">
        <is>
          <t>K. Duarte</t>
        </is>
      </c>
      <c r="E15" s="6" t="inlineStr">
        <is>
          <t>Energy &amp; Utilities</t>
        </is>
      </c>
      <c r="F15" s="6" t="inlineStr">
        <is>
          <t>5 - Closing</t>
        </is>
      </c>
      <c r="G15" s="6" t="inlineStr">
        <is>
          <t>Closed</t>
        </is>
      </c>
      <c r="H15" s="9" t="inlineStr">
        <is>
          <t>2023-09-22</t>
        </is>
      </c>
      <c r="I15" s="9" t="inlineStr">
        <is>
          <t>2027-01-28</t>
        </is>
      </c>
      <c r="J15" s="9" t="inlineStr">
        <is>
          <t>2027-05-18</t>
        </is>
      </c>
      <c r="K15" s="7" t="n">
        <v>0.9</v>
      </c>
      <c r="L15" s="10" t="n">
        <v>1410200000</v>
      </c>
      <c r="M15" s="10" t="n">
        <v>1311486000</v>
      </c>
      <c r="N15" s="10" t="n">
        <v>1269180000</v>
      </c>
      <c r="O15" s="10" t="n">
        <v>1334182668.62</v>
      </c>
      <c r="P15" s="6" t="inlineStr">
        <is>
          <t>Dr. A. Al Marri</t>
        </is>
      </c>
      <c r="Q15" s="6" t="inlineStr">
        <is>
          <t>Sovereign compute, energy and connectivity substrate the whole economy runs on. Delivered under National Grids.</t>
        </is>
      </c>
      <c r="R15" s="11">
        <f>N15-M15</f>
        <v/>
      </c>
      <c r="S15" s="11">
        <f>N15-O15</f>
        <v/>
      </c>
      <c r="T15" s="12">
        <f>IFERROR(N15/M15,"")</f>
        <v/>
      </c>
      <c r="U15" s="12">
        <f>IFERROR(N15/O15,"")</f>
        <v/>
      </c>
      <c r="V15" s="11">
        <f>IFERROR(L15/(N15/O15),"")</f>
        <v/>
      </c>
      <c r="W15" s="11">
        <f>IFERROR(L15-(L15/(N15/O15)),"")</f>
        <v/>
      </c>
      <c r="X15" s="13">
        <f>IFERROR(DATEDIF(I15,J15,"d"),0)</f>
        <v/>
      </c>
    </row>
    <row r="16">
      <c r="A16" s="6" t="inlineStr">
        <is>
          <t>PJ-015</t>
        </is>
      </c>
      <c r="B16" s="6" t="inlineStr">
        <is>
          <t>3GW Solar + Storage for Compute Load</t>
        </is>
      </c>
      <c r="C16" s="6" t="inlineStr">
        <is>
          <t>PG-03</t>
        </is>
      </c>
      <c r="D16" s="6" t="inlineStr">
        <is>
          <t>K. Duarte</t>
        </is>
      </c>
      <c r="E16" s="6" t="inlineStr">
        <is>
          <t>Energy &amp; Utilities</t>
        </is>
      </c>
      <c r="F16" s="6" t="inlineStr">
        <is>
          <t>1 - Initiating</t>
        </is>
      </c>
      <c r="G16" s="6" t="inlineStr">
        <is>
          <t>Active</t>
        </is>
      </c>
      <c r="H16" s="9" t="inlineStr">
        <is>
          <t>2026-01-13</t>
        </is>
      </c>
      <c r="I16" s="9" t="inlineStr">
        <is>
          <t>2029-03-06</t>
        </is>
      </c>
      <c r="J16" s="9" t="inlineStr">
        <is>
          <t>2029-03-24</t>
        </is>
      </c>
      <c r="K16" s="7" t="n">
        <v>0.12</v>
      </c>
      <c r="L16" s="10" t="n">
        <v>5901500000</v>
      </c>
      <c r="M16" s="10" t="n">
        <v>590150000</v>
      </c>
      <c r="N16" s="10" t="n">
        <v>708180000</v>
      </c>
      <c r="O16" s="10" t="n">
        <v>646489417.03</v>
      </c>
      <c r="P16" s="6" t="inlineStr">
        <is>
          <t>Dr. A. Al Marri</t>
        </is>
      </c>
      <c r="Q16" s="6" t="inlineStr">
        <is>
          <t>Sovereign compute, energy and connectivity substrate the whole economy runs on. Delivered under National Grids.</t>
        </is>
      </c>
      <c r="R16" s="11">
        <f>N16-M16</f>
        <v/>
      </c>
      <c r="S16" s="11">
        <f>N16-O16</f>
        <v/>
      </c>
      <c r="T16" s="12">
        <f>IFERROR(N16/M16,"")</f>
        <v/>
      </c>
      <c r="U16" s="12">
        <f>IFERROR(N16/O16,"")</f>
        <v/>
      </c>
      <c r="V16" s="11">
        <f>IFERROR(L16/(N16/O16),"")</f>
        <v/>
      </c>
      <c r="W16" s="11">
        <f>IFERROR(L16-(L16/(N16/O16)),"")</f>
        <v/>
      </c>
      <c r="X16" s="13">
        <f>IFERROR(DATEDIF(I16,J16,"d"),0)</f>
        <v/>
      </c>
    </row>
    <row r="17">
      <c r="A17" s="6" t="inlineStr">
        <is>
          <t>PJ-016</t>
        </is>
      </c>
      <c r="B17" s="6" t="inlineStr">
        <is>
          <t>SMR Feasibility for Compute Baseload</t>
        </is>
      </c>
      <c r="C17" s="6" t="inlineStr">
        <is>
          <t>PG-03</t>
        </is>
      </c>
      <c r="D17" s="6" t="inlineStr">
        <is>
          <t>K. Duarte</t>
        </is>
      </c>
      <c r="E17" s="6" t="inlineStr">
        <is>
          <t>Energy &amp; Utilities</t>
        </is>
      </c>
      <c r="F17" s="6" t="inlineStr">
        <is>
          <t>1 - Initiating</t>
        </is>
      </c>
      <c r="G17" s="6" t="inlineStr">
        <is>
          <t>Active</t>
        </is>
      </c>
      <c r="H17" s="9" t="inlineStr">
        <is>
          <t>2023-07-24</t>
        </is>
      </c>
      <c r="I17" s="9" t="inlineStr">
        <is>
          <t>2026-10-27</t>
        </is>
      </c>
      <c r="J17" s="9" t="inlineStr">
        <is>
          <t>2026-10-29</t>
        </is>
      </c>
      <c r="K17" s="7" t="n">
        <v>0.1048</v>
      </c>
      <c r="L17" s="10" t="n">
        <v>649800000</v>
      </c>
      <c r="M17" s="10" t="n">
        <v>64980000</v>
      </c>
      <c r="N17" s="10" t="n">
        <v>68095811.61</v>
      </c>
      <c r="O17" s="10" t="n">
        <v>69817317</v>
      </c>
      <c r="P17" s="6" t="inlineStr">
        <is>
          <t>Dr. A. Al Marri</t>
        </is>
      </c>
      <c r="Q17" s="6" t="inlineStr">
        <is>
          <t>Sovereign compute, energy and connectivity substrate the whole economy runs on. Delivered under National Grids.</t>
        </is>
      </c>
      <c r="R17" s="11">
        <f>N17-M17</f>
        <v/>
      </c>
      <c r="S17" s="11">
        <f>N17-O17</f>
        <v/>
      </c>
      <c r="T17" s="12">
        <f>IFERROR(N17/M17,"")</f>
        <v/>
      </c>
      <c r="U17" s="12">
        <f>IFERROR(N17/O17,"")</f>
        <v/>
      </c>
      <c r="V17" s="11">
        <f>IFERROR(L17/(N17/O17),"")</f>
        <v/>
      </c>
      <c r="W17" s="11">
        <f>IFERROR(L17-(L17/(N17/O17)),"")</f>
        <v/>
      </c>
      <c r="X17" s="13">
        <f>IFERROR(DATEDIF(I17,J17,"d"),0)</f>
        <v/>
      </c>
    </row>
    <row r="18">
      <c r="A18" s="6" t="inlineStr">
        <is>
          <t>PJ-017</t>
        </is>
      </c>
      <c r="B18" s="6" t="inlineStr">
        <is>
          <t>National Fibre Backbone Ring</t>
        </is>
      </c>
      <c r="C18" s="6" t="inlineStr">
        <is>
          <t>PG-03</t>
        </is>
      </c>
      <c r="D18" s="6" t="inlineStr">
        <is>
          <t>K. Duarte</t>
        </is>
      </c>
      <c r="E18" s="6" t="inlineStr">
        <is>
          <t>Energy &amp; Utilities</t>
        </is>
      </c>
      <c r="F18" s="6" t="inlineStr">
        <is>
          <t>3 - Executing</t>
        </is>
      </c>
      <c r="G18" s="6" t="inlineStr">
        <is>
          <t>Active</t>
        </is>
      </c>
      <c r="H18" s="9" t="inlineStr">
        <is>
          <t>2024-03-25</t>
        </is>
      </c>
      <c r="I18" s="9" t="inlineStr">
        <is>
          <t>2027-01-26</t>
        </is>
      </c>
      <c r="J18" s="9" t="inlineStr">
        <is>
          <t>2027-02-07</t>
        </is>
      </c>
      <c r="K18" s="7" t="n">
        <v>0.95</v>
      </c>
      <c r="L18" s="10" t="n">
        <v>150000000</v>
      </c>
      <c r="M18" s="10" t="n">
        <v>126422372.23</v>
      </c>
      <c r="N18" s="10" t="n">
        <v>142504348.75</v>
      </c>
      <c r="O18" s="10" t="n">
        <v>143697858.43</v>
      </c>
      <c r="P18" s="6" t="inlineStr">
        <is>
          <t>Dr. A. Al Marri</t>
        </is>
      </c>
      <c r="Q18" s="6" t="inlineStr">
        <is>
          <t>Sovereign compute, energy and connectivity substrate the whole economy runs on. Delivered under National Grids.</t>
        </is>
      </c>
      <c r="R18" s="11">
        <f>N18-M18</f>
        <v/>
      </c>
      <c r="S18" s="11">
        <f>N18-O18</f>
        <v/>
      </c>
      <c r="T18" s="12">
        <f>IFERROR(N18/M18,"")</f>
        <v/>
      </c>
      <c r="U18" s="12">
        <f>IFERROR(N18/O18,"")</f>
        <v/>
      </c>
      <c r="V18" s="11">
        <f>IFERROR(L18/(N18/O18),"")</f>
        <v/>
      </c>
      <c r="W18" s="11">
        <f>IFERROR(L18-(L18/(N18/O18)),"")</f>
        <v/>
      </c>
      <c r="X18" s="13">
        <f>IFERROR(DATEDIF(I18,J18,"d"),0)</f>
        <v/>
      </c>
    </row>
    <row r="19">
      <c r="A19" s="6" t="inlineStr">
        <is>
          <t>PJ-018</t>
        </is>
      </c>
      <c r="B19" s="6" t="inlineStr">
        <is>
          <t>Grid Interconnect &amp; Substation Programme</t>
        </is>
      </c>
      <c r="C19" s="6" t="inlineStr">
        <is>
          <t>PG-03</t>
        </is>
      </c>
      <c r="D19" s="6" t="inlineStr">
        <is>
          <t>K. Duarte</t>
        </is>
      </c>
      <c r="E19" s="6" t="inlineStr">
        <is>
          <t>Transport &amp; Municipality</t>
        </is>
      </c>
      <c r="F19" s="6" t="inlineStr">
        <is>
          <t>3 - Executing</t>
        </is>
      </c>
      <c r="G19" s="6" t="inlineStr">
        <is>
          <t>Active</t>
        </is>
      </c>
      <c r="H19" s="9" t="inlineStr">
        <is>
          <t>2026-02-10</t>
        </is>
      </c>
      <c r="I19" s="9" t="inlineStr">
        <is>
          <t>2028-04-14</t>
        </is>
      </c>
      <c r="J19" s="9" t="inlineStr">
        <is>
          <t>2028-04-21</t>
        </is>
      </c>
      <c r="K19" s="7" t="n">
        <v>0.2507</v>
      </c>
      <c r="L19" s="10" t="n">
        <v>421300000</v>
      </c>
      <c r="M19" s="10" t="n">
        <v>99223047.86</v>
      </c>
      <c r="N19" s="10" t="n">
        <v>105633646.47</v>
      </c>
      <c r="O19" s="10" t="n">
        <v>105884159.82</v>
      </c>
      <c r="P19" s="6" t="inlineStr">
        <is>
          <t>Dr. A. Al Marri</t>
        </is>
      </c>
      <c r="Q19" s="6" t="inlineStr">
        <is>
          <t>Sovereign compute, energy and connectivity substrate the whole economy runs on. Delivered under National Grids.</t>
        </is>
      </c>
      <c r="R19" s="11">
        <f>N19-M19</f>
        <v/>
      </c>
      <c r="S19" s="11">
        <f>N19-O19</f>
        <v/>
      </c>
      <c r="T19" s="12">
        <f>IFERROR(N19/M19,"")</f>
        <v/>
      </c>
      <c r="U19" s="12">
        <f>IFERROR(N19/O19,"")</f>
        <v/>
      </c>
      <c r="V19" s="11">
        <f>IFERROR(L19/(N19/O19),"")</f>
        <v/>
      </c>
      <c r="W19" s="11">
        <f>IFERROR(L19-(L19/(N19/O19)),"")</f>
        <v/>
      </c>
      <c r="X19" s="13">
        <f>IFERROR(DATEDIF(I19,J19,"d"),0)</f>
        <v/>
      </c>
    </row>
    <row r="20">
      <c r="A20" s="6" t="inlineStr">
        <is>
          <t>PJ-019</t>
        </is>
      </c>
      <c r="B20" s="6" t="inlineStr">
        <is>
          <t>National Compute Exchange Platform</t>
        </is>
      </c>
      <c r="C20" s="6" t="inlineStr">
        <is>
          <t>PG-04</t>
        </is>
      </c>
      <c r="D20" s="6" t="inlineStr">
        <is>
          <t>T. Ivanova</t>
        </is>
      </c>
      <c r="E20" s="6" t="inlineStr">
        <is>
          <t>AI Office</t>
        </is>
      </c>
      <c r="F20" s="6" t="inlineStr">
        <is>
          <t>2 - Planning</t>
        </is>
      </c>
      <c r="G20" s="6" t="inlineStr">
        <is>
          <t>Active</t>
        </is>
      </c>
      <c r="H20" s="9" t="inlineStr">
        <is>
          <t>2024-10-05</t>
        </is>
      </c>
      <c r="I20" s="9" t="inlineStr">
        <is>
          <t>2026-07-13</t>
        </is>
      </c>
      <c r="J20" s="9" t="inlineStr">
        <is>
          <t>2026-07-13</t>
        </is>
      </c>
      <c r="K20" s="7" t="n">
        <v>0.288</v>
      </c>
      <c r="L20" s="10" t="n">
        <v>328600000</v>
      </c>
      <c r="M20" s="10" t="n">
        <v>92008000</v>
      </c>
      <c r="N20" s="10" t="n">
        <v>94633470.66</v>
      </c>
      <c r="O20" s="10" t="n">
        <v>104492745.74</v>
      </c>
      <c r="P20" s="6" t="inlineStr">
        <is>
          <t>S. Ramaswamy</t>
        </is>
      </c>
      <c r="Q20" s="6" t="inlineStr">
        <is>
          <t>Turn installed capacity into a traded, commercially governed national asset. Delivered under Compute Capacity &amp; Allocation.</t>
        </is>
      </c>
      <c r="R20" s="11">
        <f>N20-M20</f>
        <v/>
      </c>
      <c r="S20" s="11">
        <f>N20-O20</f>
        <v/>
      </c>
      <c r="T20" s="12">
        <f>IFERROR(N20/M20,"")</f>
        <v/>
      </c>
      <c r="U20" s="12">
        <f>IFERROR(N20/O20,"")</f>
        <v/>
      </c>
      <c r="V20" s="11">
        <f>IFERROR(L20/(N20/O20),"")</f>
        <v/>
      </c>
      <c r="W20" s="11">
        <f>IFERROR(L20-(L20/(N20/O20)),"")</f>
        <v/>
      </c>
      <c r="X20" s="13">
        <f>IFERROR(DATEDIF(I20,J20,"d"),0)</f>
        <v/>
      </c>
    </row>
    <row r="21">
      <c r="A21" s="6" t="inlineStr">
        <is>
          <t>PJ-020</t>
        </is>
      </c>
      <c r="B21" s="6" t="inlineStr">
        <is>
          <t>GPU-as-a-Service Commercial Launch</t>
        </is>
      </c>
      <c r="C21" s="6" t="inlineStr">
        <is>
          <t>PG-04</t>
        </is>
      </c>
      <c r="D21" s="6" t="inlineStr">
        <is>
          <t>T. Ivanova</t>
        </is>
      </c>
      <c r="E21" s="6" t="inlineStr">
        <is>
          <t>AI Office</t>
        </is>
      </c>
      <c r="F21" s="6" t="inlineStr">
        <is>
          <t>0 - Requested</t>
        </is>
      </c>
      <c r="G21" s="6" t="inlineStr">
        <is>
          <t>Active</t>
        </is>
      </c>
      <c r="H21" s="9" t="inlineStr">
        <is>
          <t>2026-06-10</t>
        </is>
      </c>
      <c r="I21" s="9" t="inlineStr">
        <is>
          <t>2028-11-19</t>
        </is>
      </c>
      <c r="J21" s="9" t="inlineStr">
        <is>
          <t>2028-11-12</t>
        </is>
      </c>
      <c r="K21" s="7" t="n">
        <v>0</v>
      </c>
      <c r="L21" s="10" t="n">
        <v>130000000</v>
      </c>
      <c r="M21" s="10" t="n">
        <v>0</v>
      </c>
      <c r="N21" s="10" t="n">
        <v>0</v>
      </c>
      <c r="O21" s="10" t="n">
        <v>0</v>
      </c>
      <c r="P21" s="6" t="inlineStr">
        <is>
          <t>S. Ramaswamy</t>
        </is>
      </c>
      <c r="Q21" s="6" t="inlineStr">
        <is>
          <t>Turn installed capacity into a traded, commercially governed national asset. Delivered under Compute Capacity &amp; Allocation.</t>
        </is>
      </c>
      <c r="R21" s="11">
        <f>N21-M21</f>
        <v/>
      </c>
      <c r="S21" s="11">
        <f>N21-O21</f>
        <v/>
      </c>
      <c r="T21" s="12">
        <f>IFERROR(N21/M21,"")</f>
        <v/>
      </c>
      <c r="U21" s="12">
        <f>IFERROR(N21/O21,"")</f>
        <v/>
      </c>
      <c r="V21" s="11">
        <f>IFERROR(L21/(N21/O21),"")</f>
        <v/>
      </c>
      <c r="W21" s="11">
        <f>IFERROR(L21-(L21/(N21/O21)),"")</f>
        <v/>
      </c>
      <c r="X21" s="13">
        <f>IFERROR(DATEDIF(I21,J21,"d"),0)</f>
        <v/>
      </c>
    </row>
    <row r="22">
      <c r="A22" s="6" t="inlineStr">
        <is>
          <t>PJ-021</t>
        </is>
      </c>
      <c r="B22" s="6" t="inlineStr">
        <is>
          <t>Compute Credits Scheme for SMEs &amp; Startups</t>
        </is>
      </c>
      <c r="C22" s="6" t="inlineStr">
        <is>
          <t>PG-04</t>
        </is>
      </c>
      <c r="D22" s="6" t="inlineStr">
        <is>
          <t>T. Ivanova</t>
        </is>
      </c>
      <c r="E22" s="6" t="inlineStr">
        <is>
          <t>AI Office</t>
        </is>
      </c>
      <c r="F22" s="6" t="inlineStr">
        <is>
          <t>1 - Initiating</t>
        </is>
      </c>
      <c r="G22" s="6" t="inlineStr">
        <is>
          <t>Active</t>
        </is>
      </c>
      <c r="H22" s="9" t="inlineStr">
        <is>
          <t>2025-07-10</t>
        </is>
      </c>
      <c r="I22" s="9" t="inlineStr">
        <is>
          <t>2026-07-05</t>
        </is>
      </c>
      <c r="J22" s="9" t="inlineStr">
        <is>
          <t>2026-07-19</t>
        </is>
      </c>
      <c r="K22" s="7" t="n">
        <v>0.0924</v>
      </c>
      <c r="L22" s="10" t="n">
        <v>76700000</v>
      </c>
      <c r="M22" s="10" t="n">
        <v>7670000</v>
      </c>
      <c r="N22" s="10" t="n">
        <v>7084875.69</v>
      </c>
      <c r="O22" s="10" t="n">
        <v>7351404.8</v>
      </c>
      <c r="P22" s="6" t="inlineStr">
        <is>
          <t>S. Ramaswamy</t>
        </is>
      </c>
      <c r="Q22" s="6" t="inlineStr">
        <is>
          <t>Turn installed capacity into a traded, commercially governed national asset. Delivered under Compute Capacity &amp; Allocation.</t>
        </is>
      </c>
      <c r="R22" s="11">
        <f>N22-M22</f>
        <v/>
      </c>
      <c r="S22" s="11">
        <f>N22-O22</f>
        <v/>
      </c>
      <c r="T22" s="12">
        <f>IFERROR(N22/M22,"")</f>
        <v/>
      </c>
      <c r="U22" s="12">
        <f>IFERROR(N22/O22,"")</f>
        <v/>
      </c>
      <c r="V22" s="11">
        <f>IFERROR(L22/(N22/O22),"")</f>
        <v/>
      </c>
      <c r="W22" s="11">
        <f>IFERROR(L22-(L22/(N22/O22)),"")</f>
        <v/>
      </c>
      <c r="X22" s="13">
        <f>IFERROR(DATEDIF(I22,J22,"d"),0)</f>
        <v/>
      </c>
    </row>
    <row r="23">
      <c r="A23" s="6" t="inlineStr">
        <is>
          <t>PJ-022</t>
        </is>
      </c>
      <c r="B23" s="6" t="inlineStr">
        <is>
          <t>Research Compute Allocation Framework</t>
        </is>
      </c>
      <c r="C23" s="6" t="inlineStr">
        <is>
          <t>PG-04</t>
        </is>
      </c>
      <c r="D23" s="6" t="inlineStr">
        <is>
          <t>T. Ivanova</t>
        </is>
      </c>
      <c r="E23" s="6" t="inlineStr">
        <is>
          <t>AI Office</t>
        </is>
      </c>
      <c r="F23" s="6" t="inlineStr">
        <is>
          <t>0 - Requested</t>
        </is>
      </c>
      <c r="G23" s="6" t="inlineStr">
        <is>
          <t>Active</t>
        </is>
      </c>
      <c r="H23" s="9" t="inlineStr">
        <is>
          <t>2026-06-06</t>
        </is>
      </c>
      <c r="I23" s="9" t="inlineStr">
        <is>
          <t>2027-03-03</t>
        </is>
      </c>
      <c r="J23" s="9" t="inlineStr">
        <is>
          <t>2027-03-04</t>
        </is>
      </c>
      <c r="K23" s="7" t="n">
        <v>0</v>
      </c>
      <c r="L23" s="10" t="n">
        <v>7400000</v>
      </c>
      <c r="M23" s="10" t="n">
        <v>0</v>
      </c>
      <c r="N23" s="10" t="n">
        <v>0</v>
      </c>
      <c r="O23" s="10" t="n">
        <v>0</v>
      </c>
      <c r="P23" s="6" t="inlineStr">
        <is>
          <t>S. Ramaswamy</t>
        </is>
      </c>
      <c r="Q23" s="6" t="inlineStr">
        <is>
          <t>Turn installed capacity into a traded, commercially governed national asset. Delivered under Compute Capacity &amp; Allocation.</t>
        </is>
      </c>
      <c r="R23" s="11">
        <f>N23-M23</f>
        <v/>
      </c>
      <c r="S23" s="11">
        <f>N23-O23</f>
        <v/>
      </c>
      <c r="T23" s="12">
        <f>IFERROR(N23/M23,"")</f>
        <v/>
      </c>
      <c r="U23" s="12">
        <f>IFERROR(N23/O23,"")</f>
        <v/>
      </c>
      <c r="V23" s="11">
        <f>IFERROR(L23/(N23/O23),"")</f>
        <v/>
      </c>
      <c r="W23" s="11">
        <f>IFERROR(L23-(L23/(N23/O23)),"")</f>
        <v/>
      </c>
      <c r="X23" s="13">
        <f>IFERROR(DATEDIF(I23,J23,"d"),0)</f>
        <v/>
      </c>
    </row>
    <row r="24">
      <c r="A24" s="6" t="inlineStr">
        <is>
          <t>PJ-023</t>
        </is>
      </c>
      <c r="B24" s="6" t="inlineStr">
        <is>
          <t>Utilisation, Metering &amp; Chargeback System</t>
        </is>
      </c>
      <c r="C24" s="6" t="inlineStr">
        <is>
          <t>PG-04</t>
        </is>
      </c>
      <c r="D24" s="6" t="inlineStr">
        <is>
          <t>T. Ivanova</t>
        </is>
      </c>
      <c r="E24" s="6" t="inlineStr">
        <is>
          <t>Energy &amp; Utilities</t>
        </is>
      </c>
      <c r="F24" s="6" t="inlineStr">
        <is>
          <t>3 - Executing</t>
        </is>
      </c>
      <c r="G24" s="6" t="inlineStr">
        <is>
          <t>Active</t>
        </is>
      </c>
      <c r="H24" s="9" t="inlineStr">
        <is>
          <t>2025-05-17</t>
        </is>
      </c>
      <c r="I24" s="9" t="inlineStr">
        <is>
          <t>2026-10-22</t>
        </is>
      </c>
      <c r="J24" s="9" t="inlineStr">
        <is>
          <t>2026-11-02</t>
        </is>
      </c>
      <c r="K24" s="7" t="n">
        <v>0.9537</v>
      </c>
      <c r="L24" s="10" t="n">
        <v>115400000</v>
      </c>
      <c r="M24" s="10" t="n">
        <v>100616443.59</v>
      </c>
      <c r="N24" s="10" t="n">
        <v>110059742.17</v>
      </c>
      <c r="O24" s="10" t="n">
        <v>106529461.82</v>
      </c>
      <c r="P24" s="6" t="inlineStr">
        <is>
          <t>S. Ramaswamy</t>
        </is>
      </c>
      <c r="Q24" s="6" t="inlineStr">
        <is>
          <t>Turn installed capacity into a traded, commercially governed national asset. Delivered under Compute Capacity &amp; Allocation.</t>
        </is>
      </c>
      <c r="R24" s="11">
        <f>N24-M24</f>
        <v/>
      </c>
      <c r="S24" s="11">
        <f>N24-O24</f>
        <v/>
      </c>
      <c r="T24" s="12">
        <f>IFERROR(N24/M24,"")</f>
        <v/>
      </c>
      <c r="U24" s="12">
        <f>IFERROR(N24/O24,"")</f>
        <v/>
      </c>
      <c r="V24" s="11">
        <f>IFERROR(L24/(N24/O24),"")</f>
        <v/>
      </c>
      <c r="W24" s="11">
        <f>IFERROR(L24-(L24/(N24/O24)),"")</f>
        <v/>
      </c>
      <c r="X24" s="13">
        <f>IFERROR(DATEDIF(I24,J24,"d"),0)</f>
        <v/>
      </c>
    </row>
    <row r="25">
      <c r="A25" s="6" t="inlineStr">
        <is>
          <t>PJ-024</t>
        </is>
      </c>
      <c r="B25" s="6" t="inlineStr">
        <is>
          <t>Multi-Year Accelerator Framework — Tier 1 OEM</t>
        </is>
      </c>
      <c r="C25" s="6" t="inlineStr">
        <is>
          <t>PG-05</t>
        </is>
      </c>
      <c r="D25" s="6" t="inlineStr">
        <is>
          <t>H. Lindqvist</t>
        </is>
      </c>
      <c r="E25" s="6" t="inlineStr">
        <is>
          <t>Finance &amp; Economy</t>
        </is>
      </c>
      <c r="F25" s="6" t="inlineStr">
        <is>
          <t>3 - Executing</t>
        </is>
      </c>
      <c r="G25" s="6" t="inlineStr">
        <is>
          <t>Active</t>
        </is>
      </c>
      <c r="H25" s="9" t="inlineStr">
        <is>
          <t>2025-12-13</t>
        </is>
      </c>
      <c r="I25" s="9" t="inlineStr">
        <is>
          <t>2027-08-14</t>
        </is>
      </c>
      <c r="J25" s="9" t="inlineStr">
        <is>
          <t>2027-09-10</t>
        </is>
      </c>
      <c r="K25" s="7" t="n">
        <v>0.3855</v>
      </c>
      <c r="L25" s="10" t="n">
        <v>4139200000</v>
      </c>
      <c r="M25" s="10" t="n">
        <v>1671992118.23</v>
      </c>
      <c r="N25" s="10" t="n">
        <v>1595518263.03</v>
      </c>
      <c r="O25" s="10" t="n">
        <v>1526215514.78</v>
      </c>
      <c r="P25" s="6" t="inlineStr">
        <is>
          <t>S. Ramaswamy</t>
        </is>
      </c>
      <c r="Q25" s="6" t="inlineStr">
        <is>
          <t>Turn installed capacity into a traded, commercially governed national asset. Delivered under Strategic Vendor &amp; OEM Agreements.</t>
        </is>
      </c>
      <c r="R25" s="11">
        <f>N25-M25</f>
        <v/>
      </c>
      <c r="S25" s="11">
        <f>N25-O25</f>
        <v/>
      </c>
      <c r="T25" s="12">
        <f>IFERROR(N25/M25,"")</f>
        <v/>
      </c>
      <c r="U25" s="12">
        <f>IFERROR(N25/O25,"")</f>
        <v/>
      </c>
      <c r="V25" s="11">
        <f>IFERROR(L25/(N25/O25),"")</f>
        <v/>
      </c>
      <c r="W25" s="11">
        <f>IFERROR(L25-(L25/(N25/O25)),"")</f>
        <v/>
      </c>
      <c r="X25" s="13">
        <f>IFERROR(DATEDIF(I25,J25,"d"),0)</f>
        <v/>
      </c>
    </row>
    <row r="26">
      <c r="A26" s="6" t="inlineStr">
        <is>
          <t>PJ-025</t>
        </is>
      </c>
      <c r="B26" s="6" t="inlineStr">
        <is>
          <t>Second-Source Accelerator Agreement</t>
        </is>
      </c>
      <c r="C26" s="6" t="inlineStr">
        <is>
          <t>PG-05</t>
        </is>
      </c>
      <c r="D26" s="6" t="inlineStr">
        <is>
          <t>H. Lindqvist</t>
        </is>
      </c>
      <c r="E26" s="6" t="inlineStr">
        <is>
          <t>Finance &amp; Economy</t>
        </is>
      </c>
      <c r="F26" s="6" t="inlineStr">
        <is>
          <t>1 - Initiating</t>
        </is>
      </c>
      <c r="G26" s="6" t="inlineStr">
        <is>
          <t>Active</t>
        </is>
      </c>
      <c r="H26" s="9" t="inlineStr">
        <is>
          <t>2025-10-12</t>
        </is>
      </c>
      <c r="I26" s="9" t="inlineStr">
        <is>
          <t>2027-01-09</t>
        </is>
      </c>
      <c r="J26" s="9" t="inlineStr">
        <is>
          <t>2027-02-08</t>
        </is>
      </c>
      <c r="K26" s="7" t="n">
        <v>0.09569999999999999</v>
      </c>
      <c r="L26" s="10" t="n">
        <v>2165600000</v>
      </c>
      <c r="M26" s="10" t="n">
        <v>216560000</v>
      </c>
      <c r="N26" s="10" t="n">
        <v>207160010.6</v>
      </c>
      <c r="O26" s="10" t="n">
        <v>221527491.27</v>
      </c>
      <c r="P26" s="6" t="inlineStr">
        <is>
          <t>S. Ramaswamy</t>
        </is>
      </c>
      <c r="Q26" s="6" t="inlineStr">
        <is>
          <t>Turn installed capacity into a traded, commercially governed national asset. Delivered under Strategic Vendor &amp; OEM Agreements.</t>
        </is>
      </c>
      <c r="R26" s="11">
        <f>N26-M26</f>
        <v/>
      </c>
      <c r="S26" s="11">
        <f>N26-O26</f>
        <v/>
      </c>
      <c r="T26" s="12">
        <f>IFERROR(N26/M26,"")</f>
        <v/>
      </c>
      <c r="U26" s="12">
        <f>IFERROR(N26/O26,"")</f>
        <v/>
      </c>
      <c r="V26" s="11">
        <f>IFERROR(L26/(N26/O26),"")</f>
        <v/>
      </c>
      <c r="W26" s="11">
        <f>IFERROR(L26-(L26/(N26/O26)),"")</f>
        <v/>
      </c>
      <c r="X26" s="13">
        <f>IFERROR(DATEDIF(I26,J26,"d"),0)</f>
        <v/>
      </c>
    </row>
    <row r="27">
      <c r="A27" s="6" t="inlineStr">
        <is>
          <t>PJ-026</t>
        </is>
      </c>
      <c r="B27" s="6" t="inlineStr">
        <is>
          <t>Networking &amp; Interconnect Supply Agreement</t>
        </is>
      </c>
      <c r="C27" s="6" t="inlineStr">
        <is>
          <t>PG-05</t>
        </is>
      </c>
      <c r="D27" s="6" t="inlineStr">
        <is>
          <t>H. Lindqvist</t>
        </is>
      </c>
      <c r="E27" s="6" t="inlineStr">
        <is>
          <t>Finance &amp; Economy</t>
        </is>
      </c>
      <c r="F27" s="6" t="inlineStr">
        <is>
          <t>3 - Executing</t>
        </is>
      </c>
      <c r="G27" s="6" t="inlineStr">
        <is>
          <t>Active</t>
        </is>
      </c>
      <c r="H27" s="9" t="inlineStr">
        <is>
          <t>2025-06-30</t>
        </is>
      </c>
      <c r="I27" s="9" t="inlineStr">
        <is>
          <t>2027-04-15</t>
        </is>
      </c>
      <c r="J27" s="9" t="inlineStr">
        <is>
          <t>2027-05-07</t>
        </is>
      </c>
      <c r="K27" s="7" t="n">
        <v>0.756</v>
      </c>
      <c r="L27" s="10" t="n">
        <v>661600000</v>
      </c>
      <c r="M27" s="10" t="n">
        <v>416787767.58</v>
      </c>
      <c r="N27" s="10" t="n">
        <v>500145321.1</v>
      </c>
      <c r="O27" s="10" t="n">
        <v>457352632.22</v>
      </c>
      <c r="P27" s="6" t="inlineStr">
        <is>
          <t>S. Ramaswamy</t>
        </is>
      </c>
      <c r="Q27" s="6" t="inlineStr">
        <is>
          <t>Turn installed capacity into a traded, commercially governed national asset. Delivered under Strategic Vendor &amp; OEM Agreements.</t>
        </is>
      </c>
      <c r="R27" s="11">
        <f>N27-M27</f>
        <v/>
      </c>
      <c r="S27" s="11">
        <f>N27-O27</f>
        <v/>
      </c>
      <c r="T27" s="12">
        <f>IFERROR(N27/M27,"")</f>
        <v/>
      </c>
      <c r="U27" s="12">
        <f>IFERROR(N27/O27,"")</f>
        <v/>
      </c>
      <c r="V27" s="11">
        <f>IFERROR(L27/(N27/O27),"")</f>
        <v/>
      </c>
      <c r="W27" s="11">
        <f>IFERROR(L27-(L27/(N27/O27)),"")</f>
        <v/>
      </c>
      <c r="X27" s="13">
        <f>IFERROR(DATEDIF(I27,J27,"d"),0)</f>
        <v/>
      </c>
    </row>
    <row r="28">
      <c r="A28" s="6" t="inlineStr">
        <is>
          <t>PJ-027</t>
        </is>
      </c>
      <c r="B28" s="6" t="inlineStr">
        <is>
          <t>Liquid Cooling OEM Partnership</t>
        </is>
      </c>
      <c r="C28" s="6" t="inlineStr">
        <is>
          <t>PG-05</t>
        </is>
      </c>
      <c r="D28" s="6" t="inlineStr">
        <is>
          <t>H. Lindqvist</t>
        </is>
      </c>
      <c r="E28" s="6" t="inlineStr">
        <is>
          <t>Finance &amp; Economy</t>
        </is>
      </c>
      <c r="F28" s="6" t="inlineStr">
        <is>
          <t>0 - Requested</t>
        </is>
      </c>
      <c r="G28" s="6" t="inlineStr">
        <is>
          <t>Active</t>
        </is>
      </c>
      <c r="H28" s="9" t="inlineStr">
        <is>
          <t>2026-06-18</t>
        </is>
      </c>
      <c r="I28" s="9" t="inlineStr">
        <is>
          <t>2027-06-26</t>
        </is>
      </c>
      <c r="J28" s="9" t="inlineStr">
        <is>
          <t>2027-07-14</t>
        </is>
      </c>
      <c r="K28" s="7" t="n">
        <v>0</v>
      </c>
      <c r="L28" s="10" t="n">
        <v>129100000</v>
      </c>
      <c r="M28" s="10" t="n">
        <v>0</v>
      </c>
      <c r="N28" s="10" t="n">
        <v>0</v>
      </c>
      <c r="O28" s="10" t="n">
        <v>0</v>
      </c>
      <c r="P28" s="6" t="inlineStr">
        <is>
          <t>S. Ramaswamy</t>
        </is>
      </c>
      <c r="Q28" s="6" t="inlineStr">
        <is>
          <t>Turn installed capacity into a traded, commercially governed national asset. Delivered under Strategic Vendor &amp; OEM Agreements.</t>
        </is>
      </c>
      <c r="R28" s="11">
        <f>N28-M28</f>
        <v/>
      </c>
      <c r="S28" s="11">
        <f>N28-O28</f>
        <v/>
      </c>
      <c r="T28" s="12">
        <f>IFERROR(N28/M28,"")</f>
        <v/>
      </c>
      <c r="U28" s="12">
        <f>IFERROR(N28/O28,"")</f>
        <v/>
      </c>
      <c r="V28" s="11">
        <f>IFERROR(L28/(N28/O28),"")</f>
        <v/>
      </c>
      <c r="W28" s="11">
        <f>IFERROR(L28-(L28/(N28/O28)),"")</f>
        <v/>
      </c>
      <c r="X28" s="13">
        <f>IFERROR(DATEDIF(I28,J28,"d"),0)</f>
        <v/>
      </c>
    </row>
    <row r="29">
      <c r="A29" s="6" t="inlineStr">
        <is>
          <t>PJ-028</t>
        </is>
      </c>
      <c r="B29" s="6" t="inlineStr">
        <is>
          <t>Semiconductor Assembly &amp; Test Joint Venture</t>
        </is>
      </c>
      <c r="C29" s="6" t="inlineStr">
        <is>
          <t>PG-05</t>
        </is>
      </c>
      <c r="D29" s="6" t="inlineStr">
        <is>
          <t>H. Lindqvist</t>
        </is>
      </c>
      <c r="E29" s="6" t="inlineStr">
        <is>
          <t>Finance &amp; Economy</t>
        </is>
      </c>
      <c r="F29" s="6" t="inlineStr">
        <is>
          <t>0 - Requested</t>
        </is>
      </c>
      <c r="G29" s="6" t="inlineStr">
        <is>
          <t>Active</t>
        </is>
      </c>
      <c r="H29" s="9" t="inlineStr">
        <is>
          <t>2026-04-01</t>
        </is>
      </c>
      <c r="I29" s="9" t="inlineStr">
        <is>
          <t>2027-09-03</t>
        </is>
      </c>
      <c r="J29" s="9" t="inlineStr">
        <is>
          <t>2027-09-13</t>
        </is>
      </c>
      <c r="K29" s="7" t="n">
        <v>0</v>
      </c>
      <c r="L29" s="10" t="n">
        <v>2212900000</v>
      </c>
      <c r="M29" s="10" t="n">
        <v>0</v>
      </c>
      <c r="N29" s="10" t="n">
        <v>0</v>
      </c>
      <c r="O29" s="10" t="n">
        <v>0</v>
      </c>
      <c r="P29" s="6" t="inlineStr">
        <is>
          <t>S. Ramaswamy</t>
        </is>
      </c>
      <c r="Q29" s="6" t="inlineStr">
        <is>
          <t>Turn installed capacity into a traded, commercially governed national asset. Delivered under Strategic Vendor &amp; OEM Agreements.</t>
        </is>
      </c>
      <c r="R29" s="11">
        <f>N29-M29</f>
        <v/>
      </c>
      <c r="S29" s="11">
        <f>N29-O29</f>
        <v/>
      </c>
      <c r="T29" s="12">
        <f>IFERROR(N29/M29,"")</f>
        <v/>
      </c>
      <c r="U29" s="12">
        <f>IFERROR(N29/O29,"")</f>
        <v/>
      </c>
      <c r="V29" s="11">
        <f>IFERROR(L29/(N29/O29),"")</f>
        <v/>
      </c>
      <c r="W29" s="11">
        <f>IFERROR(L29-(L29/(N29/O29)),"")</f>
        <v/>
      </c>
      <c r="X29" s="13">
        <f>IFERROR(DATEDIF(I29,J29,"d"),0)</f>
        <v/>
      </c>
    </row>
    <row r="30">
      <c r="A30" s="6" t="inlineStr">
        <is>
          <t>PJ-029</t>
        </is>
      </c>
      <c r="B30" s="6" t="inlineStr">
        <is>
          <t>Hardware Maintenance &amp; Spares Framework</t>
        </is>
      </c>
      <c r="C30" s="6" t="inlineStr">
        <is>
          <t>PG-05</t>
        </is>
      </c>
      <c r="D30" s="6" t="inlineStr">
        <is>
          <t>H. Lindqvist</t>
        </is>
      </c>
      <c r="E30" s="6" t="inlineStr">
        <is>
          <t>Finance &amp; Economy</t>
        </is>
      </c>
      <c r="F30" s="6" t="inlineStr">
        <is>
          <t>0 - Requested</t>
        </is>
      </c>
      <c r="G30" s="6" t="inlineStr">
        <is>
          <t>Active</t>
        </is>
      </c>
      <c r="H30" s="9" t="inlineStr">
        <is>
          <t>2026-05-05</t>
        </is>
      </c>
      <c r="I30" s="9" t="inlineStr">
        <is>
          <t>2026-11-25</t>
        </is>
      </c>
      <c r="J30" s="9" t="inlineStr">
        <is>
          <t>2026-12-14</t>
        </is>
      </c>
      <c r="K30" s="7" t="n">
        <v>0</v>
      </c>
      <c r="L30" s="10" t="n">
        <v>103400000</v>
      </c>
      <c r="M30" s="10" t="n">
        <v>0</v>
      </c>
      <c r="N30" s="10" t="n">
        <v>0</v>
      </c>
      <c r="O30" s="10" t="n">
        <v>0</v>
      </c>
      <c r="P30" s="6" t="inlineStr">
        <is>
          <t>S. Ramaswamy</t>
        </is>
      </c>
      <c r="Q30" s="6" t="inlineStr">
        <is>
          <t>Turn installed capacity into a traded, commercially governed national asset. Delivered under Strategic Vendor &amp; OEM Agreements.</t>
        </is>
      </c>
      <c r="R30" s="11">
        <f>N30-M30</f>
        <v/>
      </c>
      <c r="S30" s="11">
        <f>N30-O30</f>
        <v/>
      </c>
      <c r="T30" s="12">
        <f>IFERROR(N30/M30,"")</f>
        <v/>
      </c>
      <c r="U30" s="12">
        <f>IFERROR(N30/O30,"")</f>
        <v/>
      </c>
      <c r="V30" s="11">
        <f>IFERROR(L30/(N30/O30),"")</f>
        <v/>
      </c>
      <c r="W30" s="11">
        <f>IFERROR(L30-(L30/(N30/O30)),"")</f>
        <v/>
      </c>
      <c r="X30" s="13">
        <f>IFERROR(DATEDIF(I30,J30,"d"),0)</f>
        <v/>
      </c>
    </row>
    <row r="31">
      <c r="A31" s="6" t="inlineStr">
        <is>
          <t>PJ-030</t>
        </is>
      </c>
      <c r="B31" s="6" t="inlineStr">
        <is>
          <t>Hyperscaler Region Landing — Partner A</t>
        </is>
      </c>
      <c r="C31" s="6" t="inlineStr">
        <is>
          <t>PG-06</t>
        </is>
      </c>
      <c r="D31" s="6" t="inlineStr">
        <is>
          <t>J. Alvarez</t>
        </is>
      </c>
      <c r="E31" s="6" t="inlineStr">
        <is>
          <t>Interior &amp; Safety</t>
        </is>
      </c>
      <c r="F31" s="6" t="inlineStr">
        <is>
          <t>5 - Closing</t>
        </is>
      </c>
      <c r="G31" s="6" t="inlineStr">
        <is>
          <t>On Hold</t>
        </is>
      </c>
      <c r="H31" s="9" t="inlineStr">
        <is>
          <t>2025-05-26</t>
        </is>
      </c>
      <c r="I31" s="9" t="inlineStr">
        <is>
          <t>2026-12-07</t>
        </is>
      </c>
      <c r="J31" s="9" t="inlineStr">
        <is>
          <t>2026-12-28</t>
        </is>
      </c>
      <c r="K31" s="7" t="n">
        <v>0.9529</v>
      </c>
      <c r="L31" s="10" t="n">
        <v>2544400000</v>
      </c>
      <c r="M31" s="10" t="n">
        <v>2366292000</v>
      </c>
      <c r="N31" s="10" t="n">
        <v>2424525790.06</v>
      </c>
      <c r="O31" s="10" t="n">
        <v>2941765941.42</v>
      </c>
      <c r="P31" s="6" t="inlineStr">
        <is>
          <t>S. Ramaswamy</t>
        </is>
      </c>
      <c r="Q31" s="6" t="inlineStr">
        <is>
          <t>Turn installed capacity into a traded, commercially governed national asset. Delivered under Hyperscaler &amp; Cloud Partnerships.</t>
        </is>
      </c>
      <c r="R31" s="11">
        <f>N31-M31</f>
        <v/>
      </c>
      <c r="S31" s="11">
        <f>N31-O31</f>
        <v/>
      </c>
      <c r="T31" s="12">
        <f>IFERROR(N31/M31,"")</f>
        <v/>
      </c>
      <c r="U31" s="12">
        <f>IFERROR(N31/O31,"")</f>
        <v/>
      </c>
      <c r="V31" s="11">
        <f>IFERROR(L31/(N31/O31),"")</f>
        <v/>
      </c>
      <c r="W31" s="11">
        <f>IFERROR(L31-(L31/(N31/O31)),"")</f>
        <v/>
      </c>
      <c r="X31" s="13">
        <f>IFERROR(DATEDIF(I31,J31,"d"),0)</f>
        <v/>
      </c>
    </row>
    <row r="32">
      <c r="A32" s="6" t="inlineStr">
        <is>
          <t>PJ-031</t>
        </is>
      </c>
      <c r="B32" s="6" t="inlineStr">
        <is>
          <t>Sovereign Cloud Joint Venture</t>
        </is>
      </c>
      <c r="C32" s="6" t="inlineStr">
        <is>
          <t>PG-06</t>
        </is>
      </c>
      <c r="D32" s="6" t="inlineStr">
        <is>
          <t>J. Alvarez</t>
        </is>
      </c>
      <c r="E32" s="6" t="inlineStr">
        <is>
          <t>Digital Infrastructure</t>
        </is>
      </c>
      <c r="F32" s="6" t="inlineStr">
        <is>
          <t>0 - Requested</t>
        </is>
      </c>
      <c r="G32" s="6" t="inlineStr">
        <is>
          <t>Active</t>
        </is>
      </c>
      <c r="H32" s="9" t="inlineStr">
        <is>
          <t>2026-06-25</t>
        </is>
      </c>
      <c r="I32" s="9" t="inlineStr">
        <is>
          <t>2027-01-05</t>
        </is>
      </c>
      <c r="J32" s="9" t="inlineStr">
        <is>
          <t>2027-01-12</t>
        </is>
      </c>
      <c r="K32" s="7" t="n">
        <v>0</v>
      </c>
      <c r="L32" s="10" t="n">
        <v>534500000</v>
      </c>
      <c r="M32" s="10" t="n">
        <v>0</v>
      </c>
      <c r="N32" s="10" t="n">
        <v>0</v>
      </c>
      <c r="O32" s="10" t="n">
        <v>0</v>
      </c>
      <c r="P32" s="6" t="inlineStr">
        <is>
          <t>S. Ramaswamy</t>
        </is>
      </c>
      <c r="Q32" s="6" t="inlineStr">
        <is>
          <t>Turn installed capacity into a traded, commercially governed national asset. Delivered under Hyperscaler &amp; Cloud Partnerships.</t>
        </is>
      </c>
      <c r="R32" s="11">
        <f>N32-M32</f>
        <v/>
      </c>
      <c r="S32" s="11">
        <f>N32-O32</f>
        <v/>
      </c>
      <c r="T32" s="12">
        <f>IFERROR(N32/M32,"")</f>
        <v/>
      </c>
      <c r="U32" s="12">
        <f>IFERROR(N32/O32,"")</f>
        <v/>
      </c>
      <c r="V32" s="11">
        <f>IFERROR(L32/(N32/O32),"")</f>
        <v/>
      </c>
      <c r="W32" s="11">
        <f>IFERROR(L32-(L32/(N32/O32)),"")</f>
        <v/>
      </c>
      <c r="X32" s="13">
        <f>IFERROR(DATEDIF(I32,J32,"d"),0)</f>
        <v/>
      </c>
    </row>
    <row r="33">
      <c r="A33" s="6" t="inlineStr">
        <is>
          <t>PJ-032</t>
        </is>
      </c>
      <c r="B33" s="6" t="inlineStr">
        <is>
          <t>Enterprise Migration Incentive Programme</t>
        </is>
      </c>
      <c r="C33" s="6" t="inlineStr">
        <is>
          <t>PG-06</t>
        </is>
      </c>
      <c r="D33" s="6" t="inlineStr">
        <is>
          <t>J. Alvarez</t>
        </is>
      </c>
      <c r="E33" s="6" t="inlineStr">
        <is>
          <t>Digital Infrastructure</t>
        </is>
      </c>
      <c r="F33" s="6" t="inlineStr">
        <is>
          <t>0 - Requested</t>
        </is>
      </c>
      <c r="G33" s="6" t="inlineStr">
        <is>
          <t>Active</t>
        </is>
      </c>
      <c r="H33" s="9" t="inlineStr">
        <is>
          <t>2026-05-27</t>
        </is>
      </c>
      <c r="I33" s="9" t="inlineStr">
        <is>
          <t>2027-10-28</t>
        </is>
      </c>
      <c r="J33" s="9" t="inlineStr">
        <is>
          <t>2027-11-05</t>
        </is>
      </c>
      <c r="K33" s="7" t="n">
        <v>0</v>
      </c>
      <c r="L33" s="10" t="n">
        <v>44800000</v>
      </c>
      <c r="M33" s="10" t="n">
        <v>0</v>
      </c>
      <c r="N33" s="10" t="n">
        <v>0</v>
      </c>
      <c r="O33" s="10" t="n">
        <v>0</v>
      </c>
      <c r="P33" s="6" t="inlineStr">
        <is>
          <t>S. Ramaswamy</t>
        </is>
      </c>
      <c r="Q33" s="6" t="inlineStr">
        <is>
          <t>Turn installed capacity into a traded, commercially governed national asset. Delivered under Hyperscaler &amp; Cloud Partnerships.</t>
        </is>
      </c>
      <c r="R33" s="11">
        <f>N33-M33</f>
        <v/>
      </c>
      <c r="S33" s="11">
        <f>N33-O33</f>
        <v/>
      </c>
      <c r="T33" s="12">
        <f>IFERROR(N33/M33,"")</f>
        <v/>
      </c>
      <c r="U33" s="12">
        <f>IFERROR(N33/O33,"")</f>
        <v/>
      </c>
      <c r="V33" s="11">
        <f>IFERROR(L33/(N33/O33),"")</f>
        <v/>
      </c>
      <c r="W33" s="11">
        <f>IFERROR(L33-(L33/(N33/O33)),"")</f>
        <v/>
      </c>
      <c r="X33" s="13">
        <f>IFERROR(DATEDIF(I33,J33,"d"),0)</f>
        <v/>
      </c>
    </row>
    <row r="34">
      <c r="A34" s="6" t="inlineStr">
        <is>
          <t>PJ-033</t>
        </is>
      </c>
      <c r="B34" s="6" t="inlineStr">
        <is>
          <t>Cross-Border Compute Reciprocity Agreements</t>
        </is>
      </c>
      <c r="C34" s="6" t="inlineStr">
        <is>
          <t>PG-06</t>
        </is>
      </c>
      <c r="D34" s="6" t="inlineStr">
        <is>
          <t>J. Alvarez</t>
        </is>
      </c>
      <c r="E34" s="6" t="inlineStr">
        <is>
          <t>Digital Infrastructure</t>
        </is>
      </c>
      <c r="F34" s="6" t="inlineStr">
        <is>
          <t>0 - Requested</t>
        </is>
      </c>
      <c r="G34" s="6" t="inlineStr">
        <is>
          <t>Active</t>
        </is>
      </c>
      <c r="H34" s="9" t="inlineStr">
        <is>
          <t>2026-07-05</t>
        </is>
      </c>
      <c r="I34" s="9" t="inlineStr">
        <is>
          <t>2027-02-18</t>
        </is>
      </c>
      <c r="J34" s="9" t="inlineStr">
        <is>
          <t>2027-02-18</t>
        </is>
      </c>
      <c r="K34" s="7" t="n">
        <v>0</v>
      </c>
      <c r="L34" s="10" t="n">
        <v>97500000</v>
      </c>
      <c r="M34" s="10" t="n">
        <v>0</v>
      </c>
      <c r="N34" s="10" t="n">
        <v>0</v>
      </c>
      <c r="O34" s="10" t="n">
        <v>0</v>
      </c>
      <c r="P34" s="6" t="inlineStr">
        <is>
          <t>S. Ramaswamy</t>
        </is>
      </c>
      <c r="Q34" s="6" t="inlineStr">
        <is>
          <t>Turn installed capacity into a traded, commercially governed national asset. Delivered under Hyperscaler &amp; Cloud Partnerships.</t>
        </is>
      </c>
      <c r="R34" s="11">
        <f>N34-M34</f>
        <v/>
      </c>
      <c r="S34" s="11">
        <f>N34-O34</f>
        <v/>
      </c>
      <c r="T34" s="12">
        <f>IFERROR(N34/M34,"")</f>
        <v/>
      </c>
      <c r="U34" s="12">
        <f>IFERROR(N34/O34,"")</f>
        <v/>
      </c>
      <c r="V34" s="11">
        <f>IFERROR(L34/(N34/O34),"")</f>
        <v/>
      </c>
      <c r="W34" s="11">
        <f>IFERROR(L34-(L34/(N34/O34)),"")</f>
        <v/>
      </c>
      <c r="X34" s="13">
        <f>IFERROR(DATEDIF(I34,J34,"d"),0)</f>
        <v/>
      </c>
    </row>
    <row r="35">
      <c r="A35" s="6" t="inlineStr">
        <is>
          <t>PJ-034</t>
        </is>
      </c>
      <c r="B35" s="6" t="inlineStr">
        <is>
          <t>National Foundation Model — Training Run 1</t>
        </is>
      </c>
      <c r="C35" s="6" t="inlineStr">
        <is>
          <t>PG-07</t>
        </is>
      </c>
      <c r="D35" s="6" t="inlineStr">
        <is>
          <t>C. Nwosu</t>
        </is>
      </c>
      <c r="E35" s="6" t="inlineStr">
        <is>
          <t>AI Office</t>
        </is>
      </c>
      <c r="F35" s="6" t="inlineStr">
        <is>
          <t>4 - Monitoring &amp; Controlling</t>
        </is>
      </c>
      <c r="G35" s="6" t="inlineStr">
        <is>
          <t>Active</t>
        </is>
      </c>
      <c r="H35" s="9" t="inlineStr">
        <is>
          <t>2025-10-11</t>
        </is>
      </c>
      <c r="I35" s="9" t="inlineStr">
        <is>
          <t>2026-10-03</t>
        </is>
      </c>
      <c r="J35" s="9" t="inlineStr">
        <is>
          <t>2026-10-22</t>
        </is>
      </c>
      <c r="K35" s="7" t="n">
        <v>0.8028</v>
      </c>
      <c r="L35" s="10" t="n">
        <v>1374900000</v>
      </c>
      <c r="M35" s="10" t="n">
        <v>1190039495.8</v>
      </c>
      <c r="N35" s="10" t="n">
        <v>1103827911.05</v>
      </c>
      <c r="O35" s="10" t="n">
        <v>940379355.4</v>
      </c>
      <c r="P35" s="6" t="inlineStr">
        <is>
          <t>S. Ramaswamy</t>
        </is>
      </c>
      <c r="Q35" s="6" t="inlineStr">
        <is>
          <t>Turn installed capacity into a traded, commercially governed national asset. Delivered under Sovereign Model Programme.</t>
        </is>
      </c>
      <c r="R35" s="11">
        <f>N35-M35</f>
        <v/>
      </c>
      <c r="S35" s="11">
        <f>N35-O35</f>
        <v/>
      </c>
      <c r="T35" s="12">
        <f>IFERROR(N35/M35,"")</f>
        <v/>
      </c>
      <c r="U35" s="12">
        <f>IFERROR(N35/O35,"")</f>
        <v/>
      </c>
      <c r="V35" s="11">
        <f>IFERROR(L35/(N35/O35),"")</f>
        <v/>
      </c>
      <c r="W35" s="11">
        <f>IFERROR(L35-(L35/(N35/O35)),"")</f>
        <v/>
      </c>
      <c r="X35" s="13">
        <f>IFERROR(DATEDIF(I35,J35,"d"),0)</f>
        <v/>
      </c>
    </row>
    <row r="36">
      <c r="A36" s="6" t="inlineStr">
        <is>
          <t>PJ-035</t>
        </is>
      </c>
      <c r="B36" s="6" t="inlineStr">
        <is>
          <t>Sovereign Language Multimodal Model</t>
        </is>
      </c>
      <c r="C36" s="6" t="inlineStr">
        <is>
          <t>PG-07</t>
        </is>
      </c>
      <c r="D36" s="6" t="inlineStr">
        <is>
          <t>C. Nwosu</t>
        </is>
      </c>
      <c r="E36" s="6" t="inlineStr">
        <is>
          <t>AI Office</t>
        </is>
      </c>
      <c r="F36" s="6" t="inlineStr">
        <is>
          <t>1 - Initiating</t>
        </is>
      </c>
      <c r="G36" s="6" t="inlineStr">
        <is>
          <t>Active</t>
        </is>
      </c>
      <c r="H36" s="9" t="inlineStr">
        <is>
          <t>2024-03-21</t>
        </is>
      </c>
      <c r="I36" s="9" t="inlineStr">
        <is>
          <t>2026-08-23</t>
        </is>
      </c>
      <c r="J36" s="9" t="inlineStr">
        <is>
          <t>2026-09-21</t>
        </is>
      </c>
      <c r="K36" s="7" t="n">
        <v>0.0939</v>
      </c>
      <c r="L36" s="10" t="n">
        <v>198500000</v>
      </c>
      <c r="M36" s="10" t="n">
        <v>19850000</v>
      </c>
      <c r="N36" s="10" t="n">
        <v>18639736.75</v>
      </c>
      <c r="O36" s="10" t="n">
        <v>19072327.3</v>
      </c>
      <c r="P36" s="6" t="inlineStr">
        <is>
          <t>S. Ramaswamy</t>
        </is>
      </c>
      <c r="Q36" s="6" t="inlineStr">
        <is>
          <t>Turn installed capacity into a traded, commercially governed national asset. Delivered under Sovereign Model Programme.</t>
        </is>
      </c>
      <c r="R36" s="11">
        <f>N36-M36</f>
        <v/>
      </c>
      <c r="S36" s="11">
        <f>N36-O36</f>
        <v/>
      </c>
      <c r="T36" s="12">
        <f>IFERROR(N36/M36,"")</f>
        <v/>
      </c>
      <c r="U36" s="12">
        <f>IFERROR(N36/O36,"")</f>
        <v/>
      </c>
      <c r="V36" s="11">
        <f>IFERROR(L36/(N36/O36),"")</f>
        <v/>
      </c>
      <c r="W36" s="11">
        <f>IFERROR(L36-(L36/(N36/O36)),"")</f>
        <v/>
      </c>
      <c r="X36" s="13">
        <f>IFERROR(DATEDIF(I36,J36,"d"),0)</f>
        <v/>
      </c>
    </row>
    <row r="37">
      <c r="A37" s="6" t="inlineStr">
        <is>
          <t>PJ-036</t>
        </is>
      </c>
      <c r="B37" s="6" t="inlineStr">
        <is>
          <t>Model Evaluation &amp; Red-Team Facility</t>
        </is>
      </c>
      <c r="C37" s="6" t="inlineStr">
        <is>
          <t>PG-07</t>
        </is>
      </c>
      <c r="D37" s="6" t="inlineStr">
        <is>
          <t>C. Nwosu</t>
        </is>
      </c>
      <c r="E37" s="6" t="inlineStr">
        <is>
          <t>Interior &amp; Safety</t>
        </is>
      </c>
      <c r="F37" s="6" t="inlineStr">
        <is>
          <t>2 - Planning</t>
        </is>
      </c>
      <c r="G37" s="6" t="inlineStr">
        <is>
          <t>Active</t>
        </is>
      </c>
      <c r="H37" s="9" t="inlineStr">
        <is>
          <t>2025-09-07</t>
        </is>
      </c>
      <c r="I37" s="9" t="inlineStr">
        <is>
          <t>2027-01-02</t>
        </is>
      </c>
      <c r="J37" s="9" t="inlineStr">
        <is>
          <t>2027-02-26</t>
        </is>
      </c>
      <c r="K37" s="7" t="n">
        <v>0.2248</v>
      </c>
      <c r="L37" s="10" t="n">
        <v>81700000</v>
      </c>
      <c r="M37" s="10" t="n">
        <v>22876000</v>
      </c>
      <c r="N37" s="10" t="n">
        <v>18367906.31</v>
      </c>
      <c r="O37" s="10" t="n">
        <v>23023057.07</v>
      </c>
      <c r="P37" s="6" t="inlineStr">
        <is>
          <t>S. Ramaswamy</t>
        </is>
      </c>
      <c r="Q37" s="6" t="inlineStr">
        <is>
          <t>Turn installed capacity into a traded, commercially governed national asset. Delivered under Sovereign Model Programme.</t>
        </is>
      </c>
      <c r="R37" s="11">
        <f>N37-M37</f>
        <v/>
      </c>
      <c r="S37" s="11">
        <f>N37-O37</f>
        <v/>
      </c>
      <c r="T37" s="12">
        <f>IFERROR(N37/M37,"")</f>
        <v/>
      </c>
      <c r="U37" s="12">
        <f>IFERROR(N37/O37,"")</f>
        <v/>
      </c>
      <c r="V37" s="11">
        <f>IFERROR(L37/(N37/O37),"")</f>
        <v/>
      </c>
      <c r="W37" s="11">
        <f>IFERROR(L37-(L37/(N37/O37)),"")</f>
        <v/>
      </c>
      <c r="X37" s="13">
        <f>IFERROR(DATEDIF(I37,J37,"d"),0)</f>
        <v/>
      </c>
    </row>
    <row r="38">
      <c r="A38" s="6" t="inlineStr">
        <is>
          <t>PJ-037</t>
        </is>
      </c>
      <c r="B38" s="6" t="inlineStr">
        <is>
          <t>Open Model Weights Release Programme</t>
        </is>
      </c>
      <c r="C38" s="6" t="inlineStr">
        <is>
          <t>PG-07</t>
        </is>
      </c>
      <c r="D38" s="6" t="inlineStr">
        <is>
          <t>C. Nwosu</t>
        </is>
      </c>
      <c r="E38" s="6" t="inlineStr">
        <is>
          <t>Foreign Affairs &amp; Trade</t>
        </is>
      </c>
      <c r="F38" s="6" t="inlineStr">
        <is>
          <t>3 - Executing</t>
        </is>
      </c>
      <c r="G38" s="6" t="inlineStr">
        <is>
          <t>Active</t>
        </is>
      </c>
      <c r="H38" s="9" t="inlineStr">
        <is>
          <t>2025-12-06</t>
        </is>
      </c>
      <c r="I38" s="9" t="inlineStr">
        <is>
          <t>2027-04-23</t>
        </is>
      </c>
      <c r="J38" s="9" t="inlineStr">
        <is>
          <t>2027-06-04</t>
        </is>
      </c>
      <c r="K38" s="7" t="n">
        <v>0.455</v>
      </c>
      <c r="L38" s="10" t="n">
        <v>17200000</v>
      </c>
      <c r="M38" s="10" t="n">
        <v>8651292.25</v>
      </c>
      <c r="N38" s="10" t="n">
        <v>7826784.2</v>
      </c>
      <c r="O38" s="10" t="n">
        <v>8508380.59</v>
      </c>
      <c r="P38" s="6" t="inlineStr">
        <is>
          <t>S. Ramaswamy</t>
        </is>
      </c>
      <c r="Q38" s="6" t="inlineStr">
        <is>
          <t>Turn installed capacity into a traded, commercially governed national asset. Delivered under Sovereign Model Programme.</t>
        </is>
      </c>
      <c r="R38" s="11">
        <f>N38-M38</f>
        <v/>
      </c>
      <c r="S38" s="11">
        <f>N38-O38</f>
        <v/>
      </c>
      <c r="T38" s="12">
        <f>IFERROR(N38/M38,"")</f>
        <v/>
      </c>
      <c r="U38" s="12">
        <f>IFERROR(N38/O38,"")</f>
        <v/>
      </c>
      <c r="V38" s="11">
        <f>IFERROR(L38/(N38/O38),"")</f>
        <v/>
      </c>
      <c r="W38" s="11">
        <f>IFERROR(L38-(L38/(N38/O38)),"")</f>
        <v/>
      </c>
      <c r="X38" s="13">
        <f>IFERROR(DATEDIF(I38,J38,"d"),0)</f>
        <v/>
      </c>
    </row>
    <row r="39">
      <c r="A39" s="6" t="inlineStr">
        <is>
          <t>PJ-038</t>
        </is>
      </c>
      <c r="B39" s="6" t="inlineStr">
        <is>
          <t>Inference Optimisation &amp; Serving Stack</t>
        </is>
      </c>
      <c r="C39" s="6" t="inlineStr">
        <is>
          <t>PG-07</t>
        </is>
      </c>
      <c r="D39" s="6" t="inlineStr">
        <is>
          <t>C. Nwosu</t>
        </is>
      </c>
      <c r="E39" s="6" t="inlineStr">
        <is>
          <t>AI Office</t>
        </is>
      </c>
      <c r="F39" s="6" t="inlineStr">
        <is>
          <t>2 - Planning</t>
        </is>
      </c>
      <c r="G39" s="6" t="inlineStr">
        <is>
          <t>Active</t>
        </is>
      </c>
      <c r="H39" s="9" t="inlineStr">
        <is>
          <t>2026-05-30</t>
        </is>
      </c>
      <c r="I39" s="9" t="inlineStr">
        <is>
          <t>2028-09-07</t>
        </is>
      </c>
      <c r="J39" s="9" t="inlineStr">
        <is>
          <t>2028-11-28</t>
        </is>
      </c>
      <c r="K39" s="7" t="n">
        <v>0.0769</v>
      </c>
      <c r="L39" s="10" t="n">
        <v>55200000</v>
      </c>
      <c r="M39" s="10" t="n">
        <v>5181227.44</v>
      </c>
      <c r="N39" s="10" t="n">
        <v>4243240.14</v>
      </c>
      <c r="O39" s="10" t="n">
        <v>4225253.36</v>
      </c>
      <c r="P39" s="6" t="inlineStr">
        <is>
          <t>S. Ramaswamy</t>
        </is>
      </c>
      <c r="Q39" s="6" t="inlineStr">
        <is>
          <t>Turn installed capacity into a traded, commercially governed national asset. Delivered under Sovereign Model Programme.</t>
        </is>
      </c>
      <c r="R39" s="11">
        <f>N39-M39</f>
        <v/>
      </c>
      <c r="S39" s="11">
        <f>N39-O39</f>
        <v/>
      </c>
      <c r="T39" s="12">
        <f>IFERROR(N39/M39,"")</f>
        <v/>
      </c>
      <c r="U39" s="12">
        <f>IFERROR(N39/O39,"")</f>
        <v/>
      </c>
      <c r="V39" s="11">
        <f>IFERROR(L39/(N39/O39),"")</f>
        <v/>
      </c>
      <c r="W39" s="11">
        <f>IFERROR(L39-(L39/(N39/O39)),"")</f>
        <v/>
      </c>
      <c r="X39" s="13">
        <f>IFERROR(DATEDIF(I39,J39,"d"),0)</f>
        <v/>
      </c>
    </row>
    <row r="40">
      <c r="A40" s="6" t="inlineStr">
        <is>
          <t>PJ-039</t>
        </is>
      </c>
      <c r="B40" s="6" t="inlineStr">
        <is>
          <t>Citizen Services Copilot</t>
        </is>
      </c>
      <c r="C40" s="6" t="inlineStr">
        <is>
          <t>PG-08</t>
        </is>
      </c>
      <c r="D40" s="6" t="inlineStr">
        <is>
          <t>N. Haddad</t>
        </is>
      </c>
      <c r="E40" s="6" t="inlineStr">
        <is>
          <t>Health &amp; Education</t>
        </is>
      </c>
      <c r="F40" s="6" t="inlineStr">
        <is>
          <t>1 - Initiating</t>
        </is>
      </c>
      <c r="G40" s="6" t="inlineStr">
        <is>
          <t>Active</t>
        </is>
      </c>
      <c r="H40" s="9" t="inlineStr">
        <is>
          <t>2026-04-22</t>
        </is>
      </c>
      <c r="I40" s="9" t="inlineStr">
        <is>
          <t>2026-12-22</t>
        </is>
      </c>
      <c r="J40" s="9" t="inlineStr">
        <is>
          <t>2027-01-04</t>
        </is>
      </c>
      <c r="K40" s="7" t="n">
        <v>0.1068</v>
      </c>
      <c r="L40" s="10" t="n">
        <v>383200000</v>
      </c>
      <c r="M40" s="10" t="n">
        <v>38320000</v>
      </c>
      <c r="N40" s="10" t="n">
        <v>40922979.01</v>
      </c>
      <c r="O40" s="10" t="n">
        <v>48458538.05</v>
      </c>
      <c r="P40" s="6" t="inlineStr">
        <is>
          <t>P. Mensah</t>
        </is>
      </c>
      <c r="Q40" s="6" t="inlineStr">
        <is>
          <t>Convert capability into measurable outcomes, sector by sector. Delivered under Government Services AI.</t>
        </is>
      </c>
      <c r="R40" s="11">
        <f>N40-M40</f>
        <v/>
      </c>
      <c r="S40" s="11">
        <f>N40-O40</f>
        <v/>
      </c>
      <c r="T40" s="12">
        <f>IFERROR(N40/M40,"")</f>
        <v/>
      </c>
      <c r="U40" s="12">
        <f>IFERROR(N40/O40,"")</f>
        <v/>
      </c>
      <c r="V40" s="11">
        <f>IFERROR(L40/(N40/O40),"")</f>
        <v/>
      </c>
      <c r="W40" s="11">
        <f>IFERROR(L40-(L40/(N40/O40)),"")</f>
        <v/>
      </c>
      <c r="X40" s="13">
        <f>IFERROR(DATEDIF(I40,J40,"d"),0)</f>
        <v/>
      </c>
    </row>
    <row r="41">
      <c r="A41" s="6" t="inlineStr">
        <is>
          <t>PJ-040</t>
        </is>
      </c>
      <c r="B41" s="6" t="inlineStr">
        <is>
          <t>Automated Permits &amp; Licensing</t>
        </is>
      </c>
      <c r="C41" s="6" t="inlineStr">
        <is>
          <t>PG-08</t>
        </is>
      </c>
      <c r="D41" s="6" t="inlineStr">
        <is>
          <t>N. Haddad</t>
        </is>
      </c>
      <c r="E41" s="6" t="inlineStr">
        <is>
          <t>Finance &amp; Economy</t>
        </is>
      </c>
      <c r="F41" s="6" t="inlineStr">
        <is>
          <t>0 - Requested</t>
        </is>
      </c>
      <c r="G41" s="6" t="inlineStr">
        <is>
          <t>Active</t>
        </is>
      </c>
      <c r="H41" s="9" t="inlineStr">
        <is>
          <t>2026-07-07</t>
        </is>
      </c>
      <c r="I41" s="9" t="inlineStr">
        <is>
          <t>2027-08-08</t>
        </is>
      </c>
      <c r="J41" s="9" t="inlineStr">
        <is>
          <t>2027-09-14</t>
        </is>
      </c>
      <c r="K41" s="7" t="n">
        <v>0</v>
      </c>
      <c r="L41" s="10" t="n">
        <v>83700000</v>
      </c>
      <c r="M41" s="10" t="n">
        <v>0</v>
      </c>
      <c r="N41" s="10" t="n">
        <v>0</v>
      </c>
      <c r="O41" s="10" t="n">
        <v>0</v>
      </c>
      <c r="P41" s="6" t="inlineStr">
        <is>
          <t>P. Mensah</t>
        </is>
      </c>
      <c r="Q41" s="6" t="inlineStr">
        <is>
          <t>Convert capability into measurable outcomes, sector by sector. Delivered under Government Services AI.</t>
        </is>
      </c>
      <c r="R41" s="11">
        <f>N41-M41</f>
        <v/>
      </c>
      <c r="S41" s="11">
        <f>N41-O41</f>
        <v/>
      </c>
      <c r="T41" s="12">
        <f>IFERROR(N41/M41,"")</f>
        <v/>
      </c>
      <c r="U41" s="12">
        <f>IFERROR(N41/O41,"")</f>
        <v/>
      </c>
      <c r="V41" s="11">
        <f>IFERROR(L41/(N41/O41),"")</f>
        <v/>
      </c>
      <c r="W41" s="11">
        <f>IFERROR(L41-(L41/(N41/O41)),"")</f>
        <v/>
      </c>
      <c r="X41" s="13">
        <f>IFERROR(DATEDIF(I41,J41,"d"),0)</f>
        <v/>
      </c>
    </row>
    <row r="42">
      <c r="A42" s="6" t="inlineStr">
        <is>
          <t>PJ-041</t>
        </is>
      </c>
      <c r="B42" s="6" t="inlineStr">
        <is>
          <t>Immigration &amp; Border AI Screening</t>
        </is>
      </c>
      <c r="C42" s="6" t="inlineStr">
        <is>
          <t>PG-08</t>
        </is>
      </c>
      <c r="D42" s="6" t="inlineStr">
        <is>
          <t>N. Haddad</t>
        </is>
      </c>
      <c r="E42" s="6" t="inlineStr">
        <is>
          <t>Health &amp; Education</t>
        </is>
      </c>
      <c r="F42" s="6" t="inlineStr">
        <is>
          <t>2 - Planning</t>
        </is>
      </c>
      <c r="G42" s="6" t="inlineStr">
        <is>
          <t>Active</t>
        </is>
      </c>
      <c r="H42" s="9" t="inlineStr">
        <is>
          <t>2025-11-20</t>
        </is>
      </c>
      <c r="I42" s="9" t="inlineStr">
        <is>
          <t>2027-01-18</t>
        </is>
      </c>
      <c r="J42" s="9" t="inlineStr">
        <is>
          <t>2027-01-22</t>
        </is>
      </c>
      <c r="K42" s="7" t="n">
        <v>0.2824</v>
      </c>
      <c r="L42" s="10" t="n">
        <v>461700000</v>
      </c>
      <c r="M42" s="10" t="n">
        <v>129276000</v>
      </c>
      <c r="N42" s="10" t="n">
        <v>130393153.87</v>
      </c>
      <c r="O42" s="10" t="n">
        <v>135397358.55</v>
      </c>
      <c r="P42" s="6" t="inlineStr">
        <is>
          <t>P. Mensah</t>
        </is>
      </c>
      <c r="Q42" s="6" t="inlineStr">
        <is>
          <t>Convert capability into measurable outcomes, sector by sector. Delivered under Government Services AI.</t>
        </is>
      </c>
      <c r="R42" s="11">
        <f>N42-M42</f>
        <v/>
      </c>
      <c r="S42" s="11">
        <f>N42-O42</f>
        <v/>
      </c>
      <c r="T42" s="12">
        <f>IFERROR(N42/M42,"")</f>
        <v/>
      </c>
      <c r="U42" s="12">
        <f>IFERROR(N42/O42,"")</f>
        <v/>
      </c>
      <c r="V42" s="11">
        <f>IFERROR(L42/(N42/O42),"")</f>
        <v/>
      </c>
      <c r="W42" s="11">
        <f>IFERROR(L42-(L42/(N42/O42)),"")</f>
        <v/>
      </c>
      <c r="X42" s="13">
        <f>IFERROR(DATEDIF(I42,J42,"d"),0)</f>
        <v/>
      </c>
    </row>
    <row r="43">
      <c r="A43" s="6" t="inlineStr">
        <is>
          <t>PJ-042</t>
        </is>
      </c>
      <c r="B43" s="6" t="inlineStr">
        <is>
          <t>Court Case Triage &amp; Legal Research Assistant</t>
        </is>
      </c>
      <c r="C43" s="6" t="inlineStr">
        <is>
          <t>PG-08</t>
        </is>
      </c>
      <c r="D43" s="6" t="inlineStr">
        <is>
          <t>N. Haddad</t>
        </is>
      </c>
      <c r="E43" s="6" t="inlineStr">
        <is>
          <t>Interior &amp; Safety</t>
        </is>
      </c>
      <c r="F43" s="6" t="inlineStr">
        <is>
          <t>3 - Executing</t>
        </is>
      </c>
      <c r="G43" s="6" t="inlineStr">
        <is>
          <t>Active</t>
        </is>
      </c>
      <c r="H43" s="9" t="inlineStr">
        <is>
          <t>2025-11-29</t>
        </is>
      </c>
      <c r="I43" s="9" t="inlineStr">
        <is>
          <t>2026-07-25</t>
        </is>
      </c>
      <c r="J43" s="9" t="inlineStr">
        <is>
          <t>2026-08-27</t>
        </is>
      </c>
      <c r="K43" s="7" t="n">
        <v>0.7968</v>
      </c>
      <c r="L43" s="10" t="n">
        <v>65000000</v>
      </c>
      <c r="M43" s="10" t="n">
        <v>65000000</v>
      </c>
      <c r="N43" s="10" t="n">
        <v>51793406.01</v>
      </c>
      <c r="O43" s="10" t="n">
        <v>53122330.79</v>
      </c>
      <c r="P43" s="6" t="inlineStr">
        <is>
          <t>P. Mensah</t>
        </is>
      </c>
      <c r="Q43" s="6" t="inlineStr">
        <is>
          <t>Convert capability into measurable outcomes, sector by sector. Delivered under Government Services AI.</t>
        </is>
      </c>
      <c r="R43" s="11">
        <f>N43-M43</f>
        <v/>
      </c>
      <c r="S43" s="11">
        <f>N43-O43</f>
        <v/>
      </c>
      <c r="T43" s="12">
        <f>IFERROR(N43/M43,"")</f>
        <v/>
      </c>
      <c r="U43" s="12">
        <f>IFERROR(N43/O43,"")</f>
        <v/>
      </c>
      <c r="V43" s="11">
        <f>IFERROR(L43/(N43/O43),"")</f>
        <v/>
      </c>
      <c r="W43" s="11">
        <f>IFERROR(L43-(L43/(N43/O43)),"")</f>
        <v/>
      </c>
      <c r="X43" s="13">
        <f>IFERROR(DATEDIF(I43,J43,"d"),0)</f>
        <v/>
      </c>
    </row>
    <row r="44">
      <c r="A44" s="6" t="inlineStr">
        <is>
          <t>PJ-043</t>
        </is>
      </c>
      <c r="B44" s="6" t="inlineStr">
        <is>
          <t>National Document Intelligence Platform</t>
        </is>
      </c>
      <c r="C44" s="6" t="inlineStr">
        <is>
          <t>PG-08</t>
        </is>
      </c>
      <c r="D44" s="6" t="inlineStr">
        <is>
          <t>N. Haddad</t>
        </is>
      </c>
      <c r="E44" s="6" t="inlineStr">
        <is>
          <t>AI Office</t>
        </is>
      </c>
      <c r="F44" s="6" t="inlineStr">
        <is>
          <t>2 - Planning</t>
        </is>
      </c>
      <c r="G44" s="6" t="inlineStr">
        <is>
          <t>Active</t>
        </is>
      </c>
      <c r="H44" s="9" t="inlineStr">
        <is>
          <t>2025-07-02</t>
        </is>
      </c>
      <c r="I44" s="9" t="inlineStr">
        <is>
          <t>2026-06-25</t>
        </is>
      </c>
      <c r="J44" s="9" t="inlineStr">
        <is>
          <t>2026-07-16</t>
        </is>
      </c>
      <c r="K44" s="7" t="n">
        <v>0.336</v>
      </c>
      <c r="L44" s="10" t="n">
        <v>125500000</v>
      </c>
      <c r="M44" s="10" t="n">
        <v>35140000</v>
      </c>
      <c r="N44" s="10" t="n">
        <v>42168000</v>
      </c>
      <c r="O44" s="10" t="n">
        <v>42557348.32</v>
      </c>
      <c r="P44" s="6" t="inlineStr">
        <is>
          <t>P. Mensah</t>
        </is>
      </c>
      <c r="Q44" s="6" t="inlineStr">
        <is>
          <t>Convert capability into measurable outcomes, sector by sector. Delivered under Government Services AI.</t>
        </is>
      </c>
      <c r="R44" s="11">
        <f>N44-M44</f>
        <v/>
      </c>
      <c r="S44" s="11">
        <f>N44-O44</f>
        <v/>
      </c>
      <c r="T44" s="12">
        <f>IFERROR(N44/M44,"")</f>
        <v/>
      </c>
      <c r="U44" s="12">
        <f>IFERROR(N44/O44,"")</f>
        <v/>
      </c>
      <c r="V44" s="11">
        <f>IFERROR(L44/(N44/O44),"")</f>
        <v/>
      </c>
      <c r="W44" s="11">
        <f>IFERROR(L44-(L44/(N44/O44)),"")</f>
        <v/>
      </c>
      <c r="X44" s="13">
        <f>IFERROR(DATEDIF(I44,J44,"d"),0)</f>
        <v/>
      </c>
    </row>
    <row r="45">
      <c r="A45" s="6" t="inlineStr">
        <is>
          <t>PJ-044</t>
        </is>
      </c>
      <c r="B45" s="6" t="inlineStr">
        <is>
          <t>Procurement Fraud Detection</t>
        </is>
      </c>
      <c r="C45" s="6" t="inlineStr">
        <is>
          <t>PG-08</t>
        </is>
      </c>
      <c r="D45" s="6" t="inlineStr">
        <is>
          <t>N. Haddad</t>
        </is>
      </c>
      <c r="E45" s="6" t="inlineStr">
        <is>
          <t>AI Office</t>
        </is>
      </c>
      <c r="F45" s="6" t="inlineStr">
        <is>
          <t>3 - Executing</t>
        </is>
      </c>
      <c r="G45" s="6" t="inlineStr">
        <is>
          <t>Active</t>
        </is>
      </c>
      <c r="H45" s="9" t="inlineStr">
        <is>
          <t>2025-06-26</t>
        </is>
      </c>
      <c r="I45" s="9" t="inlineStr">
        <is>
          <t>2026-12-03</t>
        </is>
      </c>
      <c r="J45" s="9" t="inlineStr">
        <is>
          <t>2027-01-01</t>
        </is>
      </c>
      <c r="K45" s="7" t="n">
        <v>0.7596000000000001</v>
      </c>
      <c r="L45" s="10" t="n">
        <v>11600000</v>
      </c>
      <c r="M45" s="10" t="n">
        <v>9191619.050000001</v>
      </c>
      <c r="N45" s="10" t="n">
        <v>8811496.49</v>
      </c>
      <c r="O45" s="10" t="n">
        <v>10684604.47</v>
      </c>
      <c r="P45" s="6" t="inlineStr">
        <is>
          <t>P. Mensah</t>
        </is>
      </c>
      <c r="Q45" s="6" t="inlineStr">
        <is>
          <t>Convert capability into measurable outcomes, sector by sector. Delivered under Government Services AI.</t>
        </is>
      </c>
      <c r="R45" s="11">
        <f>N45-M45</f>
        <v/>
      </c>
      <c r="S45" s="11">
        <f>N45-O45</f>
        <v/>
      </c>
      <c r="T45" s="12">
        <f>IFERROR(N45/M45,"")</f>
        <v/>
      </c>
      <c r="U45" s="12">
        <f>IFERROR(N45/O45,"")</f>
        <v/>
      </c>
      <c r="V45" s="11">
        <f>IFERROR(L45/(N45/O45),"")</f>
        <v/>
      </c>
      <c r="W45" s="11">
        <f>IFERROR(L45-(L45/(N45/O45)),"")</f>
        <v/>
      </c>
      <c r="X45" s="13">
        <f>IFERROR(DATEDIF(I45,J45,"d"),0)</f>
        <v/>
      </c>
    </row>
    <row r="46">
      <c r="A46" s="6" t="inlineStr">
        <is>
          <t>PJ-045</t>
        </is>
      </c>
      <c r="B46" s="6" t="inlineStr">
        <is>
          <t>Radiology Triage Deployment — 14 Hospitals</t>
        </is>
      </c>
      <c r="C46" s="6" t="inlineStr">
        <is>
          <t>PG-09</t>
        </is>
      </c>
      <c r="D46" s="6" t="inlineStr">
        <is>
          <t>Dr. F. Rossi</t>
        </is>
      </c>
      <c r="E46" s="6" t="inlineStr">
        <is>
          <t>Health &amp; Education</t>
        </is>
      </c>
      <c r="F46" s="6" t="inlineStr">
        <is>
          <t>2 - Planning</t>
        </is>
      </c>
      <c r="G46" s="6" t="inlineStr">
        <is>
          <t>Active</t>
        </is>
      </c>
      <c r="H46" s="9" t="inlineStr">
        <is>
          <t>2025-12-05</t>
        </is>
      </c>
      <c r="I46" s="9" t="inlineStr">
        <is>
          <t>2026-08-26</t>
        </is>
      </c>
      <c r="J46" s="9" t="inlineStr">
        <is>
          <t>2026-08-27</t>
        </is>
      </c>
      <c r="K46" s="7" t="n">
        <v>0.2987</v>
      </c>
      <c r="L46" s="10" t="n">
        <v>111400000</v>
      </c>
      <c r="M46" s="10" t="n">
        <v>31192000</v>
      </c>
      <c r="N46" s="10" t="n">
        <v>33274796.45</v>
      </c>
      <c r="O46" s="10" t="n">
        <v>34116941.11</v>
      </c>
      <c r="P46" s="6" t="inlineStr">
        <is>
          <t>P. Mensah</t>
        </is>
      </c>
      <c r="Q46" s="6" t="inlineStr">
        <is>
          <t>Convert capability into measurable outcomes, sector by sector. Delivered under Healthcare AI.</t>
        </is>
      </c>
      <c r="R46" s="11">
        <f>N46-M46</f>
        <v/>
      </c>
      <c r="S46" s="11">
        <f>N46-O46</f>
        <v/>
      </c>
      <c r="T46" s="12">
        <f>IFERROR(N46/M46,"")</f>
        <v/>
      </c>
      <c r="U46" s="12">
        <f>IFERROR(N46/O46,"")</f>
        <v/>
      </c>
      <c r="V46" s="11">
        <f>IFERROR(L46/(N46/O46),"")</f>
        <v/>
      </c>
      <c r="W46" s="11">
        <f>IFERROR(L46-(L46/(N46/O46)),"")</f>
        <v/>
      </c>
      <c r="X46" s="13">
        <f>IFERROR(DATEDIF(I46,J46,"d"),0)</f>
        <v/>
      </c>
    </row>
    <row r="47">
      <c r="A47" s="6" t="inlineStr">
        <is>
          <t>PJ-046</t>
        </is>
      </c>
      <c r="B47" s="6" t="inlineStr">
        <is>
          <t>National Genomics AI Platform</t>
        </is>
      </c>
      <c r="C47" s="6" t="inlineStr">
        <is>
          <t>PG-09</t>
        </is>
      </c>
      <c r="D47" s="6" t="inlineStr">
        <is>
          <t>Dr. F. Rossi</t>
        </is>
      </c>
      <c r="E47" s="6" t="inlineStr">
        <is>
          <t>Health &amp; Education</t>
        </is>
      </c>
      <c r="F47" s="6" t="inlineStr">
        <is>
          <t>4 - Monitoring &amp; Controlling</t>
        </is>
      </c>
      <c r="G47" s="6" t="inlineStr">
        <is>
          <t>Active</t>
        </is>
      </c>
      <c r="H47" s="9" t="inlineStr">
        <is>
          <t>2025-10-22</t>
        </is>
      </c>
      <c r="I47" s="9" t="inlineStr">
        <is>
          <t>2027-01-15</t>
        </is>
      </c>
      <c r="J47" s="9" t="inlineStr">
        <is>
          <t>2027-01-08</t>
        </is>
      </c>
      <c r="K47" s="7" t="n">
        <v>0.7178</v>
      </c>
      <c r="L47" s="10" t="n">
        <v>551800000</v>
      </c>
      <c r="M47" s="10" t="n">
        <v>365414222.22</v>
      </c>
      <c r="N47" s="10" t="n">
        <v>396057752.67</v>
      </c>
      <c r="O47" s="10" t="n">
        <v>344747860.72</v>
      </c>
      <c r="P47" s="6" t="inlineStr">
        <is>
          <t>P. Mensah</t>
        </is>
      </c>
      <c r="Q47" s="6" t="inlineStr">
        <is>
          <t>Convert capability into measurable outcomes, sector by sector. Delivered under Healthcare AI.</t>
        </is>
      </c>
      <c r="R47" s="11">
        <f>N47-M47</f>
        <v/>
      </c>
      <c r="S47" s="11">
        <f>N47-O47</f>
        <v/>
      </c>
      <c r="T47" s="12">
        <f>IFERROR(N47/M47,"")</f>
        <v/>
      </c>
      <c r="U47" s="12">
        <f>IFERROR(N47/O47,"")</f>
        <v/>
      </c>
      <c r="V47" s="11">
        <f>IFERROR(L47/(N47/O47),"")</f>
        <v/>
      </c>
      <c r="W47" s="11">
        <f>IFERROR(L47-(L47/(N47/O47)),"")</f>
        <v/>
      </c>
      <c r="X47" s="13">
        <f>IFERROR(DATEDIF(I47,J47,"d"),0)</f>
        <v/>
      </c>
    </row>
    <row r="48">
      <c r="A48" s="6" t="inlineStr">
        <is>
          <t>PJ-047</t>
        </is>
      </c>
      <c r="B48" s="6" t="inlineStr">
        <is>
          <t>Predictive Bed &amp; Capacity Management</t>
        </is>
      </c>
      <c r="C48" s="6" t="inlineStr">
        <is>
          <t>PG-09</t>
        </is>
      </c>
      <c r="D48" s="6" t="inlineStr">
        <is>
          <t>Dr. F. Rossi</t>
        </is>
      </c>
      <c r="E48" s="6" t="inlineStr">
        <is>
          <t>Health &amp; Education</t>
        </is>
      </c>
      <c r="F48" s="6" t="inlineStr">
        <is>
          <t>3 - Executing</t>
        </is>
      </c>
      <c r="G48" s="6" t="inlineStr">
        <is>
          <t>Active</t>
        </is>
      </c>
      <c r="H48" s="9" t="inlineStr">
        <is>
          <t>2026-06-23</t>
        </is>
      </c>
      <c r="I48" s="9" t="inlineStr">
        <is>
          <t>2027-02-23</t>
        </is>
      </c>
      <c r="J48" s="9" t="inlineStr">
        <is>
          <t>2027-02-16</t>
        </is>
      </c>
      <c r="K48" s="7" t="n">
        <v>0.2376</v>
      </c>
      <c r="L48" s="10" t="n">
        <v>18200000</v>
      </c>
      <c r="M48" s="10" t="n">
        <v>4011428.57</v>
      </c>
      <c r="N48" s="10" t="n">
        <v>4324298.81</v>
      </c>
      <c r="O48" s="10" t="n">
        <v>3847045.29</v>
      </c>
      <c r="P48" s="6" t="inlineStr">
        <is>
          <t>P. Mensah</t>
        </is>
      </c>
      <c r="Q48" s="6" t="inlineStr">
        <is>
          <t>Convert capability into measurable outcomes, sector by sector. Delivered under Healthcare AI.</t>
        </is>
      </c>
      <c r="R48" s="11">
        <f>N48-M48</f>
        <v/>
      </c>
      <c r="S48" s="11">
        <f>N48-O48</f>
        <v/>
      </c>
      <c r="T48" s="12">
        <f>IFERROR(N48/M48,"")</f>
        <v/>
      </c>
      <c r="U48" s="12">
        <f>IFERROR(N48/O48,"")</f>
        <v/>
      </c>
      <c r="V48" s="11">
        <f>IFERROR(L48/(N48/O48),"")</f>
        <v/>
      </c>
      <c r="W48" s="11">
        <f>IFERROR(L48-(L48/(N48/O48)),"")</f>
        <v/>
      </c>
      <c r="X48" s="13">
        <f>IFERROR(DATEDIF(I48,J48,"d"),0)</f>
        <v/>
      </c>
    </row>
    <row r="49">
      <c r="A49" s="6" t="inlineStr">
        <is>
          <t>PJ-048</t>
        </is>
      </c>
      <c r="B49" s="6" t="inlineStr">
        <is>
          <t>Clinical Documentation Assistant</t>
        </is>
      </c>
      <c r="C49" s="6" t="inlineStr">
        <is>
          <t>PG-09</t>
        </is>
      </c>
      <c r="D49" s="6" t="inlineStr">
        <is>
          <t>Dr. F. Rossi</t>
        </is>
      </c>
      <c r="E49" s="6" t="inlineStr">
        <is>
          <t>Health &amp; Education</t>
        </is>
      </c>
      <c r="F49" s="6" t="inlineStr">
        <is>
          <t>1 - Initiating</t>
        </is>
      </c>
      <c r="G49" s="6" t="inlineStr">
        <is>
          <t>Active</t>
        </is>
      </c>
      <c r="H49" s="9" t="inlineStr">
        <is>
          <t>2026-04-27</t>
        </is>
      </c>
      <c r="I49" s="9" t="inlineStr">
        <is>
          <t>2027-02-11</t>
        </is>
      </c>
      <c r="J49" s="9" t="inlineStr">
        <is>
          <t>2027-03-07</t>
        </is>
      </c>
      <c r="K49" s="7" t="n">
        <v>0.0885</v>
      </c>
      <c r="L49" s="10" t="n">
        <v>30700000</v>
      </c>
      <c r="M49" s="10" t="n">
        <v>3070000</v>
      </c>
      <c r="N49" s="10" t="n">
        <v>2717060.41</v>
      </c>
      <c r="O49" s="10" t="n">
        <v>3102618.24</v>
      </c>
      <c r="P49" s="6" t="inlineStr">
        <is>
          <t>P. Mensah</t>
        </is>
      </c>
      <c r="Q49" s="6" t="inlineStr">
        <is>
          <t>Convert capability into measurable outcomes, sector by sector. Delivered under Healthcare AI.</t>
        </is>
      </c>
      <c r="R49" s="11">
        <f>N49-M49</f>
        <v/>
      </c>
      <c r="S49" s="11">
        <f>N49-O49</f>
        <v/>
      </c>
      <c r="T49" s="12">
        <f>IFERROR(N49/M49,"")</f>
        <v/>
      </c>
      <c r="U49" s="12">
        <f>IFERROR(N49/O49,"")</f>
        <v/>
      </c>
      <c r="V49" s="11">
        <f>IFERROR(L49/(N49/O49),"")</f>
        <v/>
      </c>
      <c r="W49" s="11">
        <f>IFERROR(L49-(L49/(N49/O49)),"")</f>
        <v/>
      </c>
      <c r="X49" s="13">
        <f>IFERROR(DATEDIF(I49,J49,"d"),0)</f>
        <v/>
      </c>
    </row>
    <row r="50">
      <c r="A50" s="6" t="inlineStr">
        <is>
          <t>PJ-049</t>
        </is>
      </c>
      <c r="B50" s="6" t="inlineStr">
        <is>
          <t>Population Health Risk Stratification</t>
        </is>
      </c>
      <c r="C50" s="6" t="inlineStr">
        <is>
          <t>PG-09</t>
        </is>
      </c>
      <c r="D50" s="6" t="inlineStr">
        <is>
          <t>Dr. F. Rossi</t>
        </is>
      </c>
      <c r="E50" s="6" t="inlineStr">
        <is>
          <t>Health &amp; Education</t>
        </is>
      </c>
      <c r="F50" s="6" t="inlineStr">
        <is>
          <t>1 - Initiating</t>
        </is>
      </c>
      <c r="G50" s="6" t="inlineStr">
        <is>
          <t>Active</t>
        </is>
      </c>
      <c r="H50" s="9" t="inlineStr">
        <is>
          <t>2026-05-05</t>
        </is>
      </c>
      <c r="I50" s="9" t="inlineStr">
        <is>
          <t>2026-10-23</t>
        </is>
      </c>
      <c r="J50" s="9" t="inlineStr">
        <is>
          <t>2026-11-21</t>
        </is>
      </c>
      <c r="K50" s="7" t="n">
        <v>0.08989999999999999</v>
      </c>
      <c r="L50" s="10" t="n">
        <v>23700000</v>
      </c>
      <c r="M50" s="10" t="n">
        <v>2370000</v>
      </c>
      <c r="N50" s="10" t="n">
        <v>2130205.01</v>
      </c>
      <c r="O50" s="10" t="n">
        <v>2104610.96</v>
      </c>
      <c r="P50" s="6" t="inlineStr">
        <is>
          <t>P. Mensah</t>
        </is>
      </c>
      <c r="Q50" s="6" t="inlineStr">
        <is>
          <t>Convert capability into measurable outcomes, sector by sector. Delivered under Healthcare AI.</t>
        </is>
      </c>
      <c r="R50" s="11">
        <f>N50-M50</f>
        <v/>
      </c>
      <c r="S50" s="11">
        <f>N50-O50</f>
        <v/>
      </c>
      <c r="T50" s="12">
        <f>IFERROR(N50/M50,"")</f>
        <v/>
      </c>
      <c r="U50" s="12">
        <f>IFERROR(N50/O50,"")</f>
        <v/>
      </c>
      <c r="V50" s="11">
        <f>IFERROR(L50/(N50/O50),"")</f>
        <v/>
      </c>
      <c r="W50" s="11">
        <f>IFERROR(L50-(L50/(N50/O50)),"")</f>
        <v/>
      </c>
      <c r="X50" s="13">
        <f>IFERROR(DATEDIF(I50,J50,"d"),0)</f>
        <v/>
      </c>
    </row>
    <row r="51">
      <c r="A51" s="6" t="inlineStr">
        <is>
          <t>PJ-050</t>
        </is>
      </c>
      <c r="B51" s="6" t="inlineStr">
        <is>
          <t>AI Literacy Curriculum — National K-12 Rollout</t>
        </is>
      </c>
      <c r="C51" s="6" t="inlineStr">
        <is>
          <t>PG-10</t>
        </is>
      </c>
      <c r="D51" s="6" t="inlineStr">
        <is>
          <t>G. Tanaka</t>
        </is>
      </c>
      <c r="E51" s="6" t="inlineStr">
        <is>
          <t>Finance &amp; Economy</t>
        </is>
      </c>
      <c r="F51" s="6" t="inlineStr">
        <is>
          <t>3 - Executing</t>
        </is>
      </c>
      <c r="G51" s="6" t="inlineStr">
        <is>
          <t>Active</t>
        </is>
      </c>
      <c r="H51" s="9" t="inlineStr">
        <is>
          <t>2025-05-26</t>
        </is>
      </c>
      <c r="I51" s="9" t="inlineStr">
        <is>
          <t>2026-10-24</t>
        </is>
      </c>
      <c r="J51" s="9" t="inlineStr">
        <is>
          <t>2026-11-06</t>
        </is>
      </c>
      <c r="K51" s="7" t="n">
        <v>0.9254</v>
      </c>
      <c r="L51" s="10" t="n">
        <v>302700000</v>
      </c>
      <c r="M51" s="10" t="n">
        <v>262222674.42</v>
      </c>
      <c r="N51" s="10" t="n">
        <v>280107857.3</v>
      </c>
      <c r="O51" s="10" t="n">
        <v>276332511.09</v>
      </c>
      <c r="P51" s="6" t="inlineStr">
        <is>
          <t>P. Mensah</t>
        </is>
      </c>
      <c r="Q51" s="6" t="inlineStr">
        <is>
          <t>Convert capability into measurable outcomes, sector by sector. Delivered under Education &amp; Workforce AI.</t>
        </is>
      </c>
      <c r="R51" s="11">
        <f>N51-M51</f>
        <v/>
      </c>
      <c r="S51" s="11">
        <f>N51-O51</f>
        <v/>
      </c>
      <c r="T51" s="12">
        <f>IFERROR(N51/M51,"")</f>
        <v/>
      </c>
      <c r="U51" s="12">
        <f>IFERROR(N51/O51,"")</f>
        <v/>
      </c>
      <c r="V51" s="11">
        <f>IFERROR(L51/(N51/O51),"")</f>
        <v/>
      </c>
      <c r="W51" s="11">
        <f>IFERROR(L51-(L51/(N51/O51)),"")</f>
        <v/>
      </c>
      <c r="X51" s="13">
        <f>IFERROR(DATEDIF(I51,J51,"d"),0)</f>
        <v/>
      </c>
    </row>
    <row r="52">
      <c r="A52" s="6" t="inlineStr">
        <is>
          <t>PJ-051</t>
        </is>
      </c>
      <c r="B52" s="6" t="inlineStr">
        <is>
          <t>100k AI Practitioner Reskilling Programme</t>
        </is>
      </c>
      <c r="C52" s="6" t="inlineStr">
        <is>
          <t>PG-10</t>
        </is>
      </c>
      <c r="D52" s="6" t="inlineStr">
        <is>
          <t>G. Tanaka</t>
        </is>
      </c>
      <c r="E52" s="6" t="inlineStr">
        <is>
          <t>Transport &amp; Municipality</t>
        </is>
      </c>
      <c r="F52" s="6" t="inlineStr">
        <is>
          <t>3 - Executing</t>
        </is>
      </c>
      <c r="G52" s="6" t="inlineStr">
        <is>
          <t>Active</t>
        </is>
      </c>
      <c r="H52" s="9" t="inlineStr">
        <is>
          <t>2026-01-04</t>
        </is>
      </c>
      <c r="I52" s="9" t="inlineStr">
        <is>
          <t>2027-04-10</t>
        </is>
      </c>
      <c r="J52" s="9" t="inlineStr">
        <is>
          <t>2027-04-07</t>
        </is>
      </c>
      <c r="K52" s="7" t="n">
        <v>0.5542</v>
      </c>
      <c r="L52" s="10" t="n">
        <v>774800000</v>
      </c>
      <c r="M52" s="10" t="n">
        <v>376475488.07</v>
      </c>
      <c r="N52" s="10" t="n">
        <v>429390450.51</v>
      </c>
      <c r="O52" s="10" t="n">
        <v>435035020.98</v>
      </c>
      <c r="P52" s="6" t="inlineStr">
        <is>
          <t>P. Mensah</t>
        </is>
      </c>
      <c r="Q52" s="6" t="inlineStr">
        <is>
          <t>Convert capability into measurable outcomes, sector by sector. Delivered under Education &amp; Workforce AI.</t>
        </is>
      </c>
      <c r="R52" s="11">
        <f>N52-M52</f>
        <v/>
      </c>
      <c r="S52" s="11">
        <f>N52-O52</f>
        <v/>
      </c>
      <c r="T52" s="12">
        <f>IFERROR(N52/M52,"")</f>
        <v/>
      </c>
      <c r="U52" s="12">
        <f>IFERROR(N52/O52,"")</f>
        <v/>
      </c>
      <c r="V52" s="11">
        <f>IFERROR(L52/(N52/O52),"")</f>
        <v/>
      </c>
      <c r="W52" s="11">
        <f>IFERROR(L52-(L52/(N52/O52)),"")</f>
        <v/>
      </c>
      <c r="X52" s="13">
        <f>IFERROR(DATEDIF(I52,J52,"d"),0)</f>
        <v/>
      </c>
    </row>
    <row r="53">
      <c r="A53" s="6" t="inlineStr">
        <is>
          <t>PJ-052</t>
        </is>
      </c>
      <c r="B53" s="6" t="inlineStr">
        <is>
          <t>University AI Research Chairs</t>
        </is>
      </c>
      <c r="C53" s="6" t="inlineStr">
        <is>
          <t>PG-10</t>
        </is>
      </c>
      <c r="D53" s="6" t="inlineStr">
        <is>
          <t>G. Tanaka</t>
        </is>
      </c>
      <c r="E53" s="6" t="inlineStr">
        <is>
          <t>Health &amp; Education</t>
        </is>
      </c>
      <c r="F53" s="6" t="inlineStr">
        <is>
          <t>0 - Requested</t>
        </is>
      </c>
      <c r="G53" s="6" t="inlineStr">
        <is>
          <t>Active</t>
        </is>
      </c>
      <c r="H53" s="9" t="inlineStr">
        <is>
          <t>2026-06-03</t>
        </is>
      </c>
      <c r="I53" s="9" t="inlineStr">
        <is>
          <t>2027-10-09</t>
        </is>
      </c>
      <c r="J53" s="9" t="inlineStr">
        <is>
          <t>2027-10-25</t>
        </is>
      </c>
      <c r="K53" s="7" t="n">
        <v>0</v>
      </c>
      <c r="L53" s="10" t="n">
        <v>137800000</v>
      </c>
      <c r="M53" s="10" t="n">
        <v>0</v>
      </c>
      <c r="N53" s="10" t="n">
        <v>0</v>
      </c>
      <c r="O53" s="10" t="n">
        <v>0</v>
      </c>
      <c r="P53" s="6" t="inlineStr">
        <is>
          <t>P. Mensah</t>
        </is>
      </c>
      <c r="Q53" s="6" t="inlineStr">
        <is>
          <t>Convert capability into measurable outcomes, sector by sector. Delivered under Education &amp; Workforce AI.</t>
        </is>
      </c>
      <c r="R53" s="11">
        <f>N53-M53</f>
        <v/>
      </c>
      <c r="S53" s="11">
        <f>N53-O53</f>
        <v/>
      </c>
      <c r="T53" s="12">
        <f>IFERROR(N53/M53,"")</f>
        <v/>
      </c>
      <c r="U53" s="12">
        <f>IFERROR(N53/O53,"")</f>
        <v/>
      </c>
      <c r="V53" s="11">
        <f>IFERROR(L53/(N53/O53),"")</f>
        <v/>
      </c>
      <c r="W53" s="11">
        <f>IFERROR(L53-(L53/(N53/O53)),"")</f>
        <v/>
      </c>
      <c r="X53" s="13">
        <f>IFERROR(DATEDIF(I53,J53,"d"),0)</f>
        <v/>
      </c>
    </row>
    <row r="54">
      <c r="A54" s="6" t="inlineStr">
        <is>
          <t>PJ-053</t>
        </is>
      </c>
      <c r="B54" s="6" t="inlineStr">
        <is>
          <t>Adaptive Learning Platform Pilot</t>
        </is>
      </c>
      <c r="C54" s="6" t="inlineStr">
        <is>
          <t>PG-10</t>
        </is>
      </c>
      <c r="D54" s="6" t="inlineStr">
        <is>
          <t>G. Tanaka</t>
        </is>
      </c>
      <c r="E54" s="6" t="inlineStr">
        <is>
          <t>Health &amp; Education</t>
        </is>
      </c>
      <c r="F54" s="6" t="inlineStr">
        <is>
          <t>4 - Monitoring &amp; Controlling</t>
        </is>
      </c>
      <c r="G54" s="6" t="inlineStr">
        <is>
          <t>Active</t>
        </is>
      </c>
      <c r="H54" s="9" t="inlineStr">
        <is>
          <t>2025-09-03</t>
        </is>
      </c>
      <c r="I54" s="9" t="inlineStr">
        <is>
          <t>2027-01-17</t>
        </is>
      </c>
      <c r="J54" s="9" t="inlineStr">
        <is>
          <t>2027-02-13</t>
        </is>
      </c>
      <c r="K54" s="7" t="n">
        <v>0.5886</v>
      </c>
      <c r="L54" s="10" t="n">
        <v>16600000</v>
      </c>
      <c r="M54" s="10" t="n">
        <v>11497405.19</v>
      </c>
      <c r="N54" s="10" t="n">
        <v>9771466.1</v>
      </c>
      <c r="O54" s="10" t="n">
        <v>11784852.52</v>
      </c>
      <c r="P54" s="6" t="inlineStr">
        <is>
          <t>P. Mensah</t>
        </is>
      </c>
      <c r="Q54" s="6" t="inlineStr">
        <is>
          <t>Convert capability into measurable outcomes, sector by sector. Delivered under Education &amp; Workforce AI.</t>
        </is>
      </c>
      <c r="R54" s="11">
        <f>N54-M54</f>
        <v/>
      </c>
      <c r="S54" s="11">
        <f>N54-O54</f>
        <v/>
      </c>
      <c r="T54" s="12">
        <f>IFERROR(N54/M54,"")</f>
        <v/>
      </c>
      <c r="U54" s="12">
        <f>IFERROR(N54/O54,"")</f>
        <v/>
      </c>
      <c r="V54" s="11">
        <f>IFERROR(L54/(N54/O54),"")</f>
        <v/>
      </c>
      <c r="W54" s="11">
        <f>IFERROR(L54-(L54/(N54/O54)),"")</f>
        <v/>
      </c>
      <c r="X54" s="13">
        <f>IFERROR(DATEDIF(I54,J54,"d"),0)</f>
        <v/>
      </c>
    </row>
    <row r="55">
      <c r="A55" s="6" t="inlineStr">
        <is>
          <t>PJ-054</t>
        </is>
      </c>
      <c r="B55" s="6" t="inlineStr">
        <is>
          <t>National AI Certification Framework</t>
        </is>
      </c>
      <c r="C55" s="6" t="inlineStr">
        <is>
          <t>PG-10</t>
        </is>
      </c>
      <c r="D55" s="6" t="inlineStr">
        <is>
          <t>G. Tanaka</t>
        </is>
      </c>
      <c r="E55" s="6" t="inlineStr">
        <is>
          <t>Health &amp; Education</t>
        </is>
      </c>
      <c r="F55" s="6" t="inlineStr">
        <is>
          <t>4 - Monitoring &amp; Controlling</t>
        </is>
      </c>
      <c r="G55" s="6" t="inlineStr">
        <is>
          <t>Active</t>
        </is>
      </c>
      <c r="H55" s="9" t="inlineStr">
        <is>
          <t>2025-06-28</t>
        </is>
      </c>
      <c r="I55" s="9" t="inlineStr">
        <is>
          <t>2026-11-04</t>
        </is>
      </c>
      <c r="J55" s="9" t="inlineStr">
        <is>
          <t>2026-11-15</t>
        </is>
      </c>
      <c r="K55" s="7" t="n">
        <v>0.7842</v>
      </c>
      <c r="L55" s="10" t="n">
        <v>6400000</v>
      </c>
      <c r="M55" s="10" t="n">
        <v>5363562.75</v>
      </c>
      <c r="N55" s="10" t="n">
        <v>5018906.65</v>
      </c>
      <c r="O55" s="10" t="n">
        <v>5002287.71</v>
      </c>
      <c r="P55" s="6" t="inlineStr">
        <is>
          <t>P. Mensah</t>
        </is>
      </c>
      <c r="Q55" s="6" t="inlineStr">
        <is>
          <t>Convert capability into measurable outcomes, sector by sector. Delivered under Education &amp; Workforce AI.</t>
        </is>
      </c>
      <c r="R55" s="11">
        <f>N55-M55</f>
        <v/>
      </c>
      <c r="S55" s="11">
        <f>N55-O55</f>
        <v/>
      </c>
      <c r="T55" s="12">
        <f>IFERROR(N55/M55,"")</f>
        <v/>
      </c>
      <c r="U55" s="12">
        <f>IFERROR(N55/O55,"")</f>
        <v/>
      </c>
      <c r="V55" s="11">
        <f>IFERROR(L55/(N55/O55),"")</f>
        <v/>
      </c>
      <c r="W55" s="11">
        <f>IFERROR(L55-(L55/(N55/O55)),"")</f>
        <v/>
      </c>
      <c r="X55" s="13">
        <f>IFERROR(DATEDIF(I55,J55,"d"),0)</f>
        <v/>
      </c>
    </row>
    <row r="56">
      <c r="A56" s="6" t="inlineStr">
        <is>
          <t>PJ-055</t>
        </is>
      </c>
      <c r="B56" s="6" t="inlineStr">
        <is>
          <t>Predictive Maintenance — National Refineries</t>
        </is>
      </c>
      <c r="C56" s="6" t="inlineStr">
        <is>
          <t>PG-11</t>
        </is>
      </c>
      <c r="D56" s="6" t="inlineStr">
        <is>
          <t>R. Bhatt</t>
        </is>
      </c>
      <c r="E56" s="6" t="inlineStr">
        <is>
          <t>Energy &amp; Utilities</t>
        </is>
      </c>
      <c r="F56" s="6" t="inlineStr">
        <is>
          <t>4 - Monitoring &amp; Controlling</t>
        </is>
      </c>
      <c r="G56" s="6" t="inlineStr">
        <is>
          <t>Active</t>
        </is>
      </c>
      <c r="H56" s="9" t="inlineStr">
        <is>
          <t>2026-01-02</t>
        </is>
      </c>
      <c r="I56" s="9" t="inlineStr">
        <is>
          <t>2027-03-06</t>
        </is>
      </c>
      <c r="J56" s="9" t="inlineStr">
        <is>
          <t>2027-03-30</t>
        </is>
      </c>
      <c r="K56" s="7" t="n">
        <v>0.5237000000000001</v>
      </c>
      <c r="L56" s="10" t="n">
        <v>117300000</v>
      </c>
      <c r="M56" s="10" t="n">
        <v>61938785.05</v>
      </c>
      <c r="N56" s="10" t="n">
        <v>61429540.86</v>
      </c>
      <c r="O56" s="10" t="n">
        <v>57802757.9</v>
      </c>
      <c r="P56" s="6" t="inlineStr">
        <is>
          <t>P. Mensah</t>
        </is>
      </c>
      <c r="Q56" s="6" t="inlineStr">
        <is>
          <t>Convert capability into measurable outcomes, sector by sector. Delivered under Industry &amp; Energy AI.</t>
        </is>
      </c>
      <c r="R56" s="11">
        <f>N56-M56</f>
        <v/>
      </c>
      <c r="S56" s="11">
        <f>N56-O56</f>
        <v/>
      </c>
      <c r="T56" s="12">
        <f>IFERROR(N56/M56,"")</f>
        <v/>
      </c>
      <c r="U56" s="12">
        <f>IFERROR(N56/O56,"")</f>
        <v/>
      </c>
      <c r="V56" s="11">
        <f>IFERROR(L56/(N56/O56),"")</f>
        <v/>
      </c>
      <c r="W56" s="11">
        <f>IFERROR(L56-(L56/(N56/O56)),"")</f>
        <v/>
      </c>
      <c r="X56" s="13">
        <f>IFERROR(DATEDIF(I56,J56,"d"),0)</f>
        <v/>
      </c>
    </row>
    <row r="57">
      <c r="A57" s="6" t="inlineStr">
        <is>
          <t>PJ-056</t>
        </is>
      </c>
      <c r="B57" s="6" t="inlineStr">
        <is>
          <t>Grid Load Forecasting &amp; Optimisation</t>
        </is>
      </c>
      <c r="C57" s="6" t="inlineStr">
        <is>
          <t>PG-11</t>
        </is>
      </c>
      <c r="D57" s="6" t="inlineStr">
        <is>
          <t>R. Bhatt</t>
        </is>
      </c>
      <c r="E57" s="6" t="inlineStr">
        <is>
          <t>Energy &amp; Utilities</t>
        </is>
      </c>
      <c r="F57" s="6" t="inlineStr">
        <is>
          <t>1 - Initiating</t>
        </is>
      </c>
      <c r="G57" s="6" t="inlineStr">
        <is>
          <t>Active</t>
        </is>
      </c>
      <c r="H57" s="9" t="inlineStr">
        <is>
          <t>2025-12-03</t>
        </is>
      </c>
      <c r="I57" s="9" t="inlineStr">
        <is>
          <t>2027-05-16</t>
        </is>
      </c>
      <c r="J57" s="9" t="inlineStr">
        <is>
          <t>2027-06-03</t>
        </is>
      </c>
      <c r="K57" s="7" t="n">
        <v>0.1127</v>
      </c>
      <c r="L57" s="10" t="n">
        <v>49100000</v>
      </c>
      <c r="M57" s="10" t="n">
        <v>4910000</v>
      </c>
      <c r="N57" s="10" t="n">
        <v>5535795.93</v>
      </c>
      <c r="O57" s="10" t="n">
        <v>4805049.95</v>
      </c>
      <c r="P57" s="6" t="inlineStr">
        <is>
          <t>P. Mensah</t>
        </is>
      </c>
      <c r="Q57" s="6" t="inlineStr">
        <is>
          <t>Convert capability into measurable outcomes, sector by sector. Delivered under Industry &amp; Energy AI.</t>
        </is>
      </c>
      <c r="R57" s="11">
        <f>N57-M57</f>
        <v/>
      </c>
      <c r="S57" s="11">
        <f>N57-O57</f>
        <v/>
      </c>
      <c r="T57" s="12">
        <f>IFERROR(N57/M57,"")</f>
        <v/>
      </c>
      <c r="U57" s="12">
        <f>IFERROR(N57/O57,"")</f>
        <v/>
      </c>
      <c r="V57" s="11">
        <f>IFERROR(L57/(N57/O57),"")</f>
        <v/>
      </c>
      <c r="W57" s="11">
        <f>IFERROR(L57-(L57/(N57/O57)),"")</f>
        <v/>
      </c>
      <c r="X57" s="13">
        <f>IFERROR(DATEDIF(I57,J57,"d"),0)</f>
        <v/>
      </c>
    </row>
    <row r="58">
      <c r="A58" s="6" t="inlineStr">
        <is>
          <t>PJ-057</t>
        </is>
      </c>
      <c r="B58" s="6" t="inlineStr">
        <is>
          <t>Port &amp; Logistics Optimisation</t>
        </is>
      </c>
      <c r="C58" s="6" t="inlineStr">
        <is>
          <t>PG-11</t>
        </is>
      </c>
      <c r="D58" s="6" t="inlineStr">
        <is>
          <t>R. Bhatt</t>
        </is>
      </c>
      <c r="E58" s="6" t="inlineStr">
        <is>
          <t>Energy &amp; Utilities</t>
        </is>
      </c>
      <c r="F58" s="6" t="inlineStr">
        <is>
          <t>5 - Closing</t>
        </is>
      </c>
      <c r="G58" s="6" t="inlineStr">
        <is>
          <t>Active</t>
        </is>
      </c>
      <c r="H58" s="9" t="inlineStr">
        <is>
          <t>2025-10-29</t>
        </is>
      </c>
      <c r="I58" s="9" t="inlineStr">
        <is>
          <t>2027-05-09</t>
        </is>
      </c>
      <c r="J58" s="9" t="inlineStr">
        <is>
          <t>2027-05-27</t>
        </is>
      </c>
      <c r="K58" s="7" t="n">
        <v>0.9498</v>
      </c>
      <c r="L58" s="10" t="n">
        <v>114600000</v>
      </c>
      <c r="M58" s="10" t="n">
        <v>106578000</v>
      </c>
      <c r="N58" s="10" t="n">
        <v>108851474.91</v>
      </c>
      <c r="O58" s="10" t="n">
        <v>116096639.2</v>
      </c>
      <c r="P58" s="6" t="inlineStr">
        <is>
          <t>P. Mensah</t>
        </is>
      </c>
      <c r="Q58" s="6" t="inlineStr">
        <is>
          <t>Convert capability into measurable outcomes, sector by sector. Delivered under Industry &amp; Energy AI.</t>
        </is>
      </c>
      <c r="R58" s="11">
        <f>N58-M58</f>
        <v/>
      </c>
      <c r="S58" s="11">
        <f>N58-O58</f>
        <v/>
      </c>
      <c r="T58" s="12">
        <f>IFERROR(N58/M58,"")</f>
        <v/>
      </c>
      <c r="U58" s="12">
        <f>IFERROR(N58/O58,"")</f>
        <v/>
      </c>
      <c r="V58" s="11">
        <f>IFERROR(L58/(N58/O58),"")</f>
        <v/>
      </c>
      <c r="W58" s="11">
        <f>IFERROR(L58-(L58/(N58/O58)),"")</f>
        <v/>
      </c>
      <c r="X58" s="13">
        <f>IFERROR(DATEDIF(I58,J58,"d"),0)</f>
        <v/>
      </c>
    </row>
    <row r="59">
      <c r="A59" s="6" t="inlineStr">
        <is>
          <t>PJ-058</t>
        </is>
      </c>
      <c r="B59" s="6" t="inlineStr">
        <is>
          <t>Water Network Leak Detection</t>
        </is>
      </c>
      <c r="C59" s="6" t="inlineStr">
        <is>
          <t>PG-11</t>
        </is>
      </c>
      <c r="D59" s="6" t="inlineStr">
        <is>
          <t>R. Bhatt</t>
        </is>
      </c>
      <c r="E59" s="6" t="inlineStr">
        <is>
          <t>Interior &amp; Safety</t>
        </is>
      </c>
      <c r="F59" s="6" t="inlineStr">
        <is>
          <t>3 - Executing</t>
        </is>
      </c>
      <c r="G59" s="6" t="inlineStr">
        <is>
          <t>Active</t>
        </is>
      </c>
      <c r="H59" s="9" t="inlineStr">
        <is>
          <t>2026-03-17</t>
        </is>
      </c>
      <c r="I59" s="9" t="inlineStr">
        <is>
          <t>2027-06-03</t>
        </is>
      </c>
      <c r="J59" s="9" t="inlineStr">
        <is>
          <t>2027-07-03</t>
        </is>
      </c>
      <c r="K59" s="7" t="n">
        <v>0.2886</v>
      </c>
      <c r="L59" s="10" t="n">
        <v>22300000</v>
      </c>
      <c r="M59" s="10" t="n">
        <v>7651467.27</v>
      </c>
      <c r="N59" s="10" t="n">
        <v>6435952.74</v>
      </c>
      <c r="O59" s="10" t="n">
        <v>6652915.53</v>
      </c>
      <c r="P59" s="6" t="inlineStr">
        <is>
          <t>P. Mensah</t>
        </is>
      </c>
      <c r="Q59" s="6" t="inlineStr">
        <is>
          <t>Convert capability into measurable outcomes, sector by sector. Delivered under Industry &amp; Energy AI.</t>
        </is>
      </c>
      <c r="R59" s="11">
        <f>N59-M59</f>
        <v/>
      </c>
      <c r="S59" s="11">
        <f>N59-O59</f>
        <v/>
      </c>
      <c r="T59" s="12">
        <f>IFERROR(N59/M59,"")</f>
        <v/>
      </c>
      <c r="U59" s="12">
        <f>IFERROR(N59/O59,"")</f>
        <v/>
      </c>
      <c r="V59" s="11">
        <f>IFERROR(L59/(N59/O59),"")</f>
        <v/>
      </c>
      <c r="W59" s="11">
        <f>IFERROR(L59-(L59/(N59/O59)),"")</f>
        <v/>
      </c>
      <c r="X59" s="13">
        <f>IFERROR(DATEDIF(I59,J59,"d"),0)</f>
        <v/>
      </c>
    </row>
    <row r="60">
      <c r="A60" s="6" t="inlineStr">
        <is>
          <t>PJ-059</t>
        </is>
      </c>
      <c r="B60" s="6" t="inlineStr">
        <is>
          <t>Agricultural Yield Optimisation</t>
        </is>
      </c>
      <c r="C60" s="6" t="inlineStr">
        <is>
          <t>PG-11</t>
        </is>
      </c>
      <c r="D60" s="6" t="inlineStr">
        <is>
          <t>R. Bhatt</t>
        </is>
      </c>
      <c r="E60" s="6" t="inlineStr">
        <is>
          <t>Finance &amp; Economy</t>
        </is>
      </c>
      <c r="F60" s="6" t="inlineStr">
        <is>
          <t>2 - Planning</t>
        </is>
      </c>
      <c r="G60" s="6" t="inlineStr">
        <is>
          <t>Active</t>
        </is>
      </c>
      <c r="H60" s="9" t="inlineStr">
        <is>
          <t>2025-12-05</t>
        </is>
      </c>
      <c r="I60" s="9" t="inlineStr">
        <is>
          <t>2026-08-24</t>
        </is>
      </c>
      <c r="J60" s="9" t="inlineStr">
        <is>
          <t>2026-08-26</t>
        </is>
      </c>
      <c r="K60" s="7" t="n">
        <v>0.2757</v>
      </c>
      <c r="L60" s="10" t="n">
        <v>23400000</v>
      </c>
      <c r="M60" s="10" t="n">
        <v>6552000</v>
      </c>
      <c r="N60" s="10" t="n">
        <v>6451380.93</v>
      </c>
      <c r="O60" s="10" t="n">
        <v>7146092.4</v>
      </c>
      <c r="P60" s="6" t="inlineStr">
        <is>
          <t>P. Mensah</t>
        </is>
      </c>
      <c r="Q60" s="6" t="inlineStr">
        <is>
          <t>Convert capability into measurable outcomes, sector by sector. Delivered under Industry &amp; Energy AI.</t>
        </is>
      </c>
      <c r="R60" s="11">
        <f>N60-M60</f>
        <v/>
      </c>
      <c r="S60" s="11">
        <f>N60-O60</f>
        <v/>
      </c>
      <c r="T60" s="12">
        <f>IFERROR(N60/M60,"")</f>
        <v/>
      </c>
      <c r="U60" s="12">
        <f>IFERROR(N60/O60,"")</f>
        <v/>
      </c>
      <c r="V60" s="11">
        <f>IFERROR(L60/(N60/O60),"")</f>
        <v/>
      </c>
      <c r="W60" s="11">
        <f>IFERROR(L60-(L60/(N60/O60)),"")</f>
        <v/>
      </c>
      <c r="X60" s="13">
        <f>IFERROR(DATEDIF(I60,J60,"d"),0)</f>
        <v/>
      </c>
    </row>
    <row r="61">
      <c r="A61" s="6" t="inlineStr">
        <is>
          <t>PJ-060</t>
        </is>
      </c>
      <c r="B61" s="6" t="inlineStr">
        <is>
          <t>AML Transaction Monitoring Uplift</t>
        </is>
      </c>
      <c r="C61" s="6" t="inlineStr">
        <is>
          <t>PG-12</t>
        </is>
      </c>
      <c r="D61" s="6" t="inlineStr">
        <is>
          <t>L. Moreau</t>
        </is>
      </c>
      <c r="E61" s="6" t="inlineStr">
        <is>
          <t>Finance &amp; Economy</t>
        </is>
      </c>
      <c r="F61" s="6" t="inlineStr">
        <is>
          <t>5 - Closing</t>
        </is>
      </c>
      <c r="G61" s="6" t="inlineStr">
        <is>
          <t>Closed</t>
        </is>
      </c>
      <c r="H61" s="9" t="inlineStr">
        <is>
          <t>2026-03-18</t>
        </is>
      </c>
      <c r="I61" s="9" t="inlineStr">
        <is>
          <t>2026-12-02</t>
        </is>
      </c>
      <c r="J61" s="9" t="inlineStr">
        <is>
          <t>2026-12-07</t>
        </is>
      </c>
      <c r="K61" s="7" t="n">
        <v>0.9284</v>
      </c>
      <c r="L61" s="10" t="n">
        <v>36500000</v>
      </c>
      <c r="M61" s="10" t="n">
        <v>33945000</v>
      </c>
      <c r="N61" s="10" t="n">
        <v>33887879.54</v>
      </c>
      <c r="O61" s="10" t="n">
        <v>34945350.11</v>
      </c>
      <c r="P61" s="6" t="inlineStr">
        <is>
          <t>P. Mensah</t>
        </is>
      </c>
      <c r="Q61" s="6" t="inlineStr">
        <is>
          <t>Convert capability into measurable outcomes, sector by sector. Delivered under Financial Services &amp; RegTech AI.</t>
        </is>
      </c>
      <c r="R61" s="11">
        <f>N61-M61</f>
        <v/>
      </c>
      <c r="S61" s="11">
        <f>N61-O61</f>
        <v/>
      </c>
      <c r="T61" s="12">
        <f>IFERROR(N61/M61,"")</f>
        <v/>
      </c>
      <c r="U61" s="12">
        <f>IFERROR(N61/O61,"")</f>
        <v/>
      </c>
      <c r="V61" s="11">
        <f>IFERROR(L61/(N61/O61),"")</f>
        <v/>
      </c>
      <c r="W61" s="11">
        <f>IFERROR(L61-(L61/(N61/O61)),"")</f>
        <v/>
      </c>
      <c r="X61" s="13">
        <f>IFERROR(DATEDIF(I61,J61,"d"),0)</f>
        <v/>
      </c>
    </row>
    <row r="62">
      <c r="A62" s="6" t="inlineStr">
        <is>
          <t>PJ-061</t>
        </is>
      </c>
      <c r="B62" s="6" t="inlineStr">
        <is>
          <t>Real-Time Payments Fraud Engine</t>
        </is>
      </c>
      <c r="C62" s="6" t="inlineStr">
        <is>
          <t>PG-12</t>
        </is>
      </c>
      <c r="D62" s="6" t="inlineStr">
        <is>
          <t>L. Moreau</t>
        </is>
      </c>
      <c r="E62" s="6" t="inlineStr">
        <is>
          <t>Finance &amp; Economy</t>
        </is>
      </c>
      <c r="F62" s="6" t="inlineStr">
        <is>
          <t>3 - Executing</t>
        </is>
      </c>
      <c r="G62" s="6" t="inlineStr">
        <is>
          <t>Active</t>
        </is>
      </c>
      <c r="H62" s="9" t="inlineStr">
        <is>
          <t>2025-04-11</t>
        </is>
      </c>
      <c r="I62" s="9" t="inlineStr">
        <is>
          <t>2026-12-15</t>
        </is>
      </c>
      <c r="J62" s="9" t="inlineStr">
        <is>
          <t>2026-12-15</t>
        </is>
      </c>
      <c r="K62" s="7" t="n">
        <v>0.7939000000000001</v>
      </c>
      <c r="L62" s="10" t="n">
        <v>50300000</v>
      </c>
      <c r="M62" s="10" t="n">
        <v>40371288.74</v>
      </c>
      <c r="N62" s="10" t="n">
        <v>39935575.7</v>
      </c>
      <c r="O62" s="10" t="n">
        <v>38624629.37</v>
      </c>
      <c r="P62" s="6" t="inlineStr">
        <is>
          <t>P. Mensah</t>
        </is>
      </c>
      <c r="Q62" s="6" t="inlineStr">
        <is>
          <t>Convert capability into measurable outcomes, sector by sector. Delivered under Financial Services &amp; RegTech AI.</t>
        </is>
      </c>
      <c r="R62" s="11">
        <f>N62-M62</f>
        <v/>
      </c>
      <c r="S62" s="11">
        <f>N62-O62</f>
        <v/>
      </c>
      <c r="T62" s="12">
        <f>IFERROR(N62/M62,"")</f>
        <v/>
      </c>
      <c r="U62" s="12">
        <f>IFERROR(N62/O62,"")</f>
        <v/>
      </c>
      <c r="V62" s="11">
        <f>IFERROR(L62/(N62/O62),"")</f>
        <v/>
      </c>
      <c r="W62" s="11">
        <f>IFERROR(L62-(L62/(N62/O62)),"")</f>
        <v/>
      </c>
      <c r="X62" s="13">
        <f>IFERROR(DATEDIF(I62,J62,"d"),0)</f>
        <v/>
      </c>
    </row>
    <row r="63">
      <c r="A63" s="6" t="inlineStr">
        <is>
          <t>PJ-062</t>
        </is>
      </c>
      <c r="B63" s="6" t="inlineStr">
        <is>
          <t>Regulatory Reporting Automation</t>
        </is>
      </c>
      <c r="C63" s="6" t="inlineStr">
        <is>
          <t>PG-12</t>
        </is>
      </c>
      <c r="D63" s="6" t="inlineStr">
        <is>
          <t>L. Moreau</t>
        </is>
      </c>
      <c r="E63" s="6" t="inlineStr">
        <is>
          <t>Interior &amp; Safety</t>
        </is>
      </c>
      <c r="F63" s="6" t="inlineStr">
        <is>
          <t>1 - Initiating</t>
        </is>
      </c>
      <c r="G63" s="6" t="inlineStr">
        <is>
          <t>Active</t>
        </is>
      </c>
      <c r="H63" s="9" t="inlineStr">
        <is>
          <t>2025-10-11</t>
        </is>
      </c>
      <c r="I63" s="9" t="inlineStr">
        <is>
          <t>2026-06-15</t>
        </is>
      </c>
      <c r="J63" s="9" t="inlineStr">
        <is>
          <t>2026-07-07</t>
        </is>
      </c>
      <c r="K63" s="7" t="n">
        <v>0.0864</v>
      </c>
      <c r="L63" s="10" t="n">
        <v>16100000</v>
      </c>
      <c r="M63" s="10" t="n">
        <v>1610000</v>
      </c>
      <c r="N63" s="10" t="n">
        <v>1390374.93</v>
      </c>
      <c r="O63" s="10" t="n">
        <v>1566710.12</v>
      </c>
      <c r="P63" s="6" t="inlineStr">
        <is>
          <t>P. Mensah</t>
        </is>
      </c>
      <c r="Q63" s="6" t="inlineStr">
        <is>
          <t>Convert capability into measurable outcomes, sector by sector. Delivered under Financial Services &amp; RegTech AI.</t>
        </is>
      </c>
      <c r="R63" s="11">
        <f>N63-M63</f>
        <v/>
      </c>
      <c r="S63" s="11">
        <f>N63-O63</f>
        <v/>
      </c>
      <c r="T63" s="12">
        <f>IFERROR(N63/M63,"")</f>
        <v/>
      </c>
      <c r="U63" s="12">
        <f>IFERROR(N63/O63,"")</f>
        <v/>
      </c>
      <c r="V63" s="11">
        <f>IFERROR(L63/(N63/O63),"")</f>
        <v/>
      </c>
      <c r="W63" s="11">
        <f>IFERROR(L63-(L63/(N63/O63)),"")</f>
        <v/>
      </c>
      <c r="X63" s="13">
        <f>IFERROR(DATEDIF(I63,J63,"d"),0)</f>
        <v/>
      </c>
    </row>
    <row r="64">
      <c r="A64" s="6" t="inlineStr">
        <is>
          <t>PJ-063</t>
        </is>
      </c>
      <c r="B64" s="6" t="inlineStr">
        <is>
          <t>Credit Decisioning for Thin-File Segments</t>
        </is>
      </c>
      <c r="C64" s="6" t="inlineStr">
        <is>
          <t>PG-12</t>
        </is>
      </c>
      <c r="D64" s="6" t="inlineStr">
        <is>
          <t>L. Moreau</t>
        </is>
      </c>
      <c r="E64" s="6" t="inlineStr">
        <is>
          <t>Finance &amp; Economy</t>
        </is>
      </c>
      <c r="F64" s="6" t="inlineStr">
        <is>
          <t>4 - Monitoring &amp; Controlling</t>
        </is>
      </c>
      <c r="G64" s="6" t="inlineStr">
        <is>
          <t>Active</t>
        </is>
      </c>
      <c r="H64" s="9" t="inlineStr">
        <is>
          <t>2026-01-27</t>
        </is>
      </c>
      <c r="I64" s="9" t="inlineStr">
        <is>
          <t>2027-05-28</t>
        </is>
      </c>
      <c r="J64" s="9" t="inlineStr">
        <is>
          <t>2027-05-18</t>
        </is>
      </c>
      <c r="K64" s="7" t="n">
        <v>0.4394</v>
      </c>
      <c r="L64" s="10" t="n">
        <v>20800000</v>
      </c>
      <c r="M64" s="10" t="n">
        <v>8602469.140000001</v>
      </c>
      <c r="N64" s="10" t="n">
        <v>9138728</v>
      </c>
      <c r="O64" s="10" t="n">
        <v>11268934.88</v>
      </c>
      <c r="P64" s="6" t="inlineStr">
        <is>
          <t>P. Mensah</t>
        </is>
      </c>
      <c r="Q64" s="6" t="inlineStr">
        <is>
          <t>Convert capability into measurable outcomes, sector by sector. Delivered under Financial Services &amp; RegTech AI.</t>
        </is>
      </c>
      <c r="R64" s="11">
        <f>N64-M64</f>
        <v/>
      </c>
      <c r="S64" s="11">
        <f>N64-O64</f>
        <v/>
      </c>
      <c r="T64" s="12">
        <f>IFERROR(N64/M64,"")</f>
        <v/>
      </c>
      <c r="U64" s="12">
        <f>IFERROR(N64/O64,"")</f>
        <v/>
      </c>
      <c r="V64" s="11">
        <f>IFERROR(L64/(N64/O64),"")</f>
        <v/>
      </c>
      <c r="W64" s="11">
        <f>IFERROR(L64-(L64/(N64/O64)),"")</f>
        <v/>
      </c>
      <c r="X64" s="13">
        <f>IFERROR(DATEDIF(I64,J64,"d"),0)</f>
        <v/>
      </c>
    </row>
    <row r="65">
      <c r="A65" s="6" t="inlineStr">
        <is>
          <t>PJ-064</t>
        </is>
      </c>
      <c r="B65" s="6" t="inlineStr">
        <is>
          <t>City-Scale 3D Digital Twin — Phase 1</t>
        </is>
      </c>
      <c r="C65" s="6" t="inlineStr">
        <is>
          <t>PG-13</t>
        </is>
      </c>
      <c r="D65" s="6" t="inlineStr">
        <is>
          <t>I. Fernandes</t>
        </is>
      </c>
      <c r="E65" s="6" t="inlineStr">
        <is>
          <t>Transport &amp; Municipality</t>
        </is>
      </c>
      <c r="F65" s="6" t="inlineStr">
        <is>
          <t>2 - Planning</t>
        </is>
      </c>
      <c r="G65" s="6" t="inlineStr">
        <is>
          <t>Active</t>
        </is>
      </c>
      <c r="H65" s="9" t="inlineStr">
        <is>
          <t>2026-02-25</t>
        </is>
      </c>
      <c r="I65" s="9" t="inlineStr">
        <is>
          <t>2028-04-02</t>
        </is>
      </c>
      <c r="J65" s="9" t="inlineStr">
        <is>
          <t>2028-06-25</t>
        </is>
      </c>
      <c r="K65" s="7" t="n">
        <v>0.1742</v>
      </c>
      <c r="L65" s="10" t="n">
        <v>208800000</v>
      </c>
      <c r="M65" s="10" t="n">
        <v>46823468.06</v>
      </c>
      <c r="N65" s="10" t="n">
        <v>36382650.31</v>
      </c>
      <c r="O65" s="10" t="n">
        <v>33532174.28</v>
      </c>
      <c r="P65" s="6" t="inlineStr">
        <is>
          <t>V. Petrova</t>
        </is>
      </c>
      <c r="Q65" s="6" t="inlineStr">
        <is>
          <t>Land the capability in the physical city — mobility, safety, utilities, identity. Delivered under Urban Digital Twin.</t>
        </is>
      </c>
      <c r="R65" s="11">
        <f>N65-M65</f>
        <v/>
      </c>
      <c r="S65" s="11">
        <f>N65-O65</f>
        <v/>
      </c>
      <c r="T65" s="12">
        <f>IFERROR(N65/M65,"")</f>
        <v/>
      </c>
      <c r="U65" s="12">
        <f>IFERROR(N65/O65,"")</f>
        <v/>
      </c>
      <c r="V65" s="11">
        <f>IFERROR(L65/(N65/O65),"")</f>
        <v/>
      </c>
      <c r="W65" s="11">
        <f>IFERROR(L65-(L65/(N65/O65)),"")</f>
        <v/>
      </c>
      <c r="X65" s="13">
        <f>IFERROR(DATEDIF(I65,J65,"d"),0)</f>
        <v/>
      </c>
    </row>
    <row r="66">
      <c r="A66" s="6" t="inlineStr">
        <is>
          <t>PJ-065</t>
        </is>
      </c>
      <c r="B66" s="6" t="inlineStr">
        <is>
          <t>Real-Time Sensor Mesh Deployment</t>
        </is>
      </c>
      <c r="C66" s="6" t="inlineStr">
        <is>
          <t>PG-13</t>
        </is>
      </c>
      <c r="D66" s="6" t="inlineStr">
        <is>
          <t>I. Fernandes</t>
        </is>
      </c>
      <c r="E66" s="6" t="inlineStr">
        <is>
          <t>Transport &amp; Municipality</t>
        </is>
      </c>
      <c r="F66" s="6" t="inlineStr">
        <is>
          <t>2 - Planning</t>
        </is>
      </c>
      <c r="G66" s="6" t="inlineStr">
        <is>
          <t>Active</t>
        </is>
      </c>
      <c r="H66" s="9" t="inlineStr">
        <is>
          <t>2025-09-19</t>
        </is>
      </c>
      <c r="I66" s="9" t="inlineStr">
        <is>
          <t>2029-07-09</t>
        </is>
      </c>
      <c r="J66" s="9" t="inlineStr">
        <is>
          <t>2029-07-07</t>
        </is>
      </c>
      <c r="K66" s="7" t="n">
        <v>0.2567</v>
      </c>
      <c r="L66" s="10" t="n">
        <v>74900000</v>
      </c>
      <c r="M66" s="10" t="n">
        <v>17848740.1</v>
      </c>
      <c r="N66" s="10" t="n">
        <v>19230270.43</v>
      </c>
      <c r="O66" s="10" t="n">
        <v>19567595.9</v>
      </c>
      <c r="P66" s="6" t="inlineStr">
        <is>
          <t>V. Petrova</t>
        </is>
      </c>
      <c r="Q66" s="6" t="inlineStr">
        <is>
          <t>Land the capability in the physical city — mobility, safety, utilities, identity. Delivered under Urban Digital Twin.</t>
        </is>
      </c>
      <c r="R66" s="11">
        <f>N66-M66</f>
        <v/>
      </c>
      <c r="S66" s="11">
        <f>N66-O66</f>
        <v/>
      </c>
      <c r="T66" s="12">
        <f>IFERROR(N66/M66,"")</f>
        <v/>
      </c>
      <c r="U66" s="12">
        <f>IFERROR(N66/O66,"")</f>
        <v/>
      </c>
      <c r="V66" s="11">
        <f>IFERROR(L66/(N66/O66),"")</f>
        <v/>
      </c>
      <c r="W66" s="11">
        <f>IFERROR(L66-(L66/(N66/O66)),"")</f>
        <v/>
      </c>
      <c r="X66" s="13">
        <f>IFERROR(DATEDIF(I66,J66,"d"),0)</f>
        <v/>
      </c>
    </row>
    <row r="67">
      <c r="A67" s="6" t="inlineStr">
        <is>
          <t>PJ-066</t>
        </is>
      </c>
      <c r="B67" s="6" t="inlineStr">
        <is>
          <t>Urban Planning Simulation Engine</t>
        </is>
      </c>
      <c r="C67" s="6" t="inlineStr">
        <is>
          <t>PG-13</t>
        </is>
      </c>
      <c r="D67" s="6" t="inlineStr">
        <is>
          <t>I. Fernandes</t>
        </is>
      </c>
      <c r="E67" s="6" t="inlineStr">
        <is>
          <t>Transport &amp; Municipality</t>
        </is>
      </c>
      <c r="F67" s="6" t="inlineStr">
        <is>
          <t>1 - Initiating</t>
        </is>
      </c>
      <c r="G67" s="6" t="inlineStr">
        <is>
          <t>Active</t>
        </is>
      </c>
      <c r="H67" s="9" t="inlineStr">
        <is>
          <t>2025-06-08</t>
        </is>
      </c>
      <c r="I67" s="9" t="inlineStr">
        <is>
          <t>2027-09-28</t>
        </is>
      </c>
      <c r="J67" s="9" t="inlineStr">
        <is>
          <t>2027-10-14</t>
        </is>
      </c>
      <c r="K67" s="7" t="n">
        <v>0.12</v>
      </c>
      <c r="L67" s="10" t="n">
        <v>77500000</v>
      </c>
      <c r="M67" s="10" t="n">
        <v>7750000</v>
      </c>
      <c r="N67" s="10" t="n">
        <v>9300000</v>
      </c>
      <c r="O67" s="10" t="n">
        <v>11037852.06</v>
      </c>
      <c r="P67" s="6" t="inlineStr">
        <is>
          <t>V. Petrova</t>
        </is>
      </c>
      <c r="Q67" s="6" t="inlineStr">
        <is>
          <t>Land the capability in the physical city — mobility, safety, utilities, identity. Delivered under Urban Digital Twin.</t>
        </is>
      </c>
      <c r="R67" s="11">
        <f>N67-M67</f>
        <v/>
      </c>
      <c r="S67" s="11">
        <f>N67-O67</f>
        <v/>
      </c>
      <c r="T67" s="12">
        <f>IFERROR(N67/M67,"")</f>
        <v/>
      </c>
      <c r="U67" s="12">
        <f>IFERROR(N67/O67,"")</f>
        <v/>
      </c>
      <c r="V67" s="11">
        <f>IFERROR(L67/(N67/O67),"")</f>
        <v/>
      </c>
      <c r="W67" s="11">
        <f>IFERROR(L67-(L67/(N67/O67)),"")</f>
        <v/>
      </c>
      <c r="X67" s="13">
        <f>IFERROR(DATEDIF(I67,J67,"d"),0)</f>
        <v/>
      </c>
    </row>
    <row r="68">
      <c r="A68" s="6" t="inlineStr">
        <is>
          <t>PJ-067</t>
        </is>
      </c>
      <c r="B68" s="6" t="inlineStr">
        <is>
          <t>Construction Progress Monitoring AI</t>
        </is>
      </c>
      <c r="C68" s="6" t="inlineStr">
        <is>
          <t>PG-13</t>
        </is>
      </c>
      <c r="D68" s="6" t="inlineStr">
        <is>
          <t>I. Fernandes</t>
        </is>
      </c>
      <c r="E68" s="6" t="inlineStr">
        <is>
          <t>Transport &amp; Municipality</t>
        </is>
      </c>
      <c r="F68" s="6" t="inlineStr">
        <is>
          <t>4 - Monitoring &amp; Controlling</t>
        </is>
      </c>
      <c r="G68" s="6" t="inlineStr">
        <is>
          <t>Active</t>
        </is>
      </c>
      <c r="H68" s="9" t="inlineStr">
        <is>
          <t>2026-01-23</t>
        </is>
      </c>
      <c r="I68" s="9" t="inlineStr">
        <is>
          <t>2027-03-11</t>
        </is>
      </c>
      <c r="J68" s="9" t="inlineStr">
        <is>
          <t>2027-04-28</t>
        </is>
      </c>
      <c r="K68" s="7" t="n">
        <v>0.4022</v>
      </c>
      <c r="L68" s="10" t="n">
        <v>3400000</v>
      </c>
      <c r="M68" s="10" t="n">
        <v>1691747.57</v>
      </c>
      <c r="N68" s="10" t="n">
        <v>1367453.39</v>
      </c>
      <c r="O68" s="10" t="n">
        <v>1407105.02</v>
      </c>
      <c r="P68" s="6" t="inlineStr">
        <is>
          <t>V. Petrova</t>
        </is>
      </c>
      <c r="Q68" s="6" t="inlineStr">
        <is>
          <t>Land the capability in the physical city — mobility, safety, utilities, identity. Delivered under Urban Digital Twin.</t>
        </is>
      </c>
      <c r="R68" s="11">
        <f>N68-M68</f>
        <v/>
      </c>
      <c r="S68" s="11">
        <f>N68-O68</f>
        <v/>
      </c>
      <c r="T68" s="12">
        <f>IFERROR(N68/M68,"")</f>
        <v/>
      </c>
      <c r="U68" s="12">
        <f>IFERROR(N68/O68,"")</f>
        <v/>
      </c>
      <c r="V68" s="11">
        <f>IFERROR(L68/(N68/O68),"")</f>
        <v/>
      </c>
      <c r="W68" s="11">
        <f>IFERROR(L68-(L68/(N68/O68)),"")</f>
        <v/>
      </c>
      <c r="X68" s="13">
        <f>IFERROR(DATEDIF(I68,J68,"d"),0)</f>
        <v/>
      </c>
    </row>
    <row r="69">
      <c r="A69" s="6" t="inlineStr">
        <is>
          <t>PJ-068</t>
        </is>
      </c>
      <c r="B69" s="6" t="inlineStr">
        <is>
          <t>Adaptive Traffic Signal Network</t>
        </is>
      </c>
      <c r="C69" s="6" t="inlineStr">
        <is>
          <t>PG-14</t>
        </is>
      </c>
      <c r="D69" s="6" t="inlineStr">
        <is>
          <t>M. Osei</t>
        </is>
      </c>
      <c r="E69" s="6" t="inlineStr">
        <is>
          <t>Finance &amp; Economy</t>
        </is>
      </c>
      <c r="F69" s="6" t="inlineStr">
        <is>
          <t>1 - Initiating</t>
        </is>
      </c>
      <c r="G69" s="6" t="inlineStr">
        <is>
          <t>Active</t>
        </is>
      </c>
      <c r="H69" s="9" t="inlineStr">
        <is>
          <t>2025-01-08</t>
        </is>
      </c>
      <c r="I69" s="9" t="inlineStr">
        <is>
          <t>2028-03-12</t>
        </is>
      </c>
      <c r="J69" s="9" t="inlineStr">
        <is>
          <t>2028-05-29</t>
        </is>
      </c>
      <c r="K69" s="7" t="n">
        <v>0.0848</v>
      </c>
      <c r="L69" s="10" t="n">
        <v>467500000</v>
      </c>
      <c r="M69" s="10" t="n">
        <v>46750000</v>
      </c>
      <c r="N69" s="10" t="n">
        <v>39644966.12</v>
      </c>
      <c r="O69" s="10" t="n">
        <v>39010506.88</v>
      </c>
      <c r="P69" s="6" t="inlineStr">
        <is>
          <t>V. Petrova</t>
        </is>
      </c>
      <c r="Q69" s="6" t="inlineStr">
        <is>
          <t>Land the capability in the physical city — mobility, safety, utilities, identity. Delivered under Intelligent Mobility.</t>
        </is>
      </c>
      <c r="R69" s="11">
        <f>N69-M69</f>
        <v/>
      </c>
      <c r="S69" s="11">
        <f>N69-O69</f>
        <v/>
      </c>
      <c r="T69" s="12">
        <f>IFERROR(N69/M69,"")</f>
        <v/>
      </c>
      <c r="U69" s="12">
        <f>IFERROR(N69/O69,"")</f>
        <v/>
      </c>
      <c r="V69" s="11">
        <f>IFERROR(L69/(N69/O69),"")</f>
        <v/>
      </c>
      <c r="W69" s="11">
        <f>IFERROR(L69-(L69/(N69/O69)),"")</f>
        <v/>
      </c>
      <c r="X69" s="13">
        <f>IFERROR(DATEDIF(I69,J69,"d"),0)</f>
        <v/>
      </c>
    </row>
    <row r="70">
      <c r="A70" s="6" t="inlineStr">
        <is>
          <t>PJ-069</t>
        </is>
      </c>
      <c r="B70" s="6" t="inlineStr">
        <is>
          <t>Autonomous Shuttle Pilot — District 1</t>
        </is>
      </c>
      <c r="C70" s="6" t="inlineStr">
        <is>
          <t>PG-14</t>
        </is>
      </c>
      <c r="D70" s="6" t="inlineStr">
        <is>
          <t>M. Osei</t>
        </is>
      </c>
      <c r="E70" s="6" t="inlineStr">
        <is>
          <t>Transport &amp; Municipality</t>
        </is>
      </c>
      <c r="F70" s="6" t="inlineStr">
        <is>
          <t>2 - Planning</t>
        </is>
      </c>
      <c r="G70" s="6" t="inlineStr">
        <is>
          <t>Active</t>
        </is>
      </c>
      <c r="H70" s="9" t="inlineStr">
        <is>
          <t>2025-12-23</t>
        </is>
      </c>
      <c r="I70" s="9" t="inlineStr">
        <is>
          <t>2027-04-14</t>
        </is>
      </c>
      <c r="J70" s="9" t="inlineStr">
        <is>
          <t>2027-04-21</t>
        </is>
      </c>
      <c r="K70" s="7" t="n">
        <v>0.2987</v>
      </c>
      <c r="L70" s="10" t="n">
        <v>107900000</v>
      </c>
      <c r="M70" s="10" t="n">
        <v>30212000</v>
      </c>
      <c r="N70" s="10" t="n">
        <v>32226923.56</v>
      </c>
      <c r="O70" s="10" t="n">
        <v>33532439.34</v>
      </c>
      <c r="P70" s="6" t="inlineStr">
        <is>
          <t>V. Petrova</t>
        </is>
      </c>
      <c r="Q70" s="6" t="inlineStr">
        <is>
          <t>Land the capability in the physical city — mobility, safety, utilities, identity. Delivered under Intelligent Mobility.</t>
        </is>
      </c>
      <c r="R70" s="11">
        <f>N70-M70</f>
        <v/>
      </c>
      <c r="S70" s="11">
        <f>N70-O70</f>
        <v/>
      </c>
      <c r="T70" s="12">
        <f>IFERROR(N70/M70,"")</f>
        <v/>
      </c>
      <c r="U70" s="12">
        <f>IFERROR(N70/O70,"")</f>
        <v/>
      </c>
      <c r="V70" s="11">
        <f>IFERROR(L70/(N70/O70),"")</f>
        <v/>
      </c>
      <c r="W70" s="11">
        <f>IFERROR(L70-(L70/(N70/O70)),"")</f>
        <v/>
      </c>
      <c r="X70" s="13">
        <f>IFERROR(DATEDIF(I70,J70,"d"),0)</f>
        <v/>
      </c>
    </row>
    <row r="71">
      <c r="A71" s="6" t="inlineStr">
        <is>
          <t>PJ-070</t>
        </is>
      </c>
      <c r="B71" s="6" t="inlineStr">
        <is>
          <t>Multimodal Transit Demand Prediction</t>
        </is>
      </c>
      <c r="C71" s="6" t="inlineStr">
        <is>
          <t>PG-14</t>
        </is>
      </c>
      <c r="D71" s="6" t="inlineStr">
        <is>
          <t>M. Osei</t>
        </is>
      </c>
      <c r="E71" s="6" t="inlineStr">
        <is>
          <t>Transport &amp; Municipality</t>
        </is>
      </c>
      <c r="F71" s="6" t="inlineStr">
        <is>
          <t>1 - Initiating</t>
        </is>
      </c>
      <c r="G71" s="6" t="inlineStr">
        <is>
          <t>Active</t>
        </is>
      </c>
      <c r="H71" s="9" t="inlineStr">
        <is>
          <t>2025-08-11</t>
        </is>
      </c>
      <c r="I71" s="9" t="inlineStr">
        <is>
          <t>2026-08-18</t>
        </is>
      </c>
      <c r="J71" s="9" t="inlineStr">
        <is>
          <t>2026-08-15</t>
        </is>
      </c>
      <c r="K71" s="7" t="n">
        <v>0.1014</v>
      </c>
      <c r="L71" s="10" t="n">
        <v>3500000</v>
      </c>
      <c r="M71" s="10" t="n">
        <v>350000</v>
      </c>
      <c r="N71" s="10" t="n">
        <v>354958.05</v>
      </c>
      <c r="O71" s="10" t="n">
        <v>396736.65</v>
      </c>
      <c r="P71" s="6" t="inlineStr">
        <is>
          <t>V. Petrova</t>
        </is>
      </c>
      <c r="Q71" s="6" t="inlineStr">
        <is>
          <t>Land the capability in the physical city — mobility, safety, utilities, identity. Delivered under Intelligent Mobility.</t>
        </is>
      </c>
      <c r="R71" s="11">
        <f>N71-M71</f>
        <v/>
      </c>
      <c r="S71" s="11">
        <f>N71-O71</f>
        <v/>
      </c>
      <c r="T71" s="12">
        <f>IFERROR(N71/M71,"")</f>
        <v/>
      </c>
      <c r="U71" s="12">
        <f>IFERROR(N71/O71,"")</f>
        <v/>
      </c>
      <c r="V71" s="11">
        <f>IFERROR(L71/(N71/O71),"")</f>
        <v/>
      </c>
      <c r="W71" s="11">
        <f>IFERROR(L71-(L71/(N71/O71)),"")</f>
        <v/>
      </c>
      <c r="X71" s="13">
        <f>IFERROR(DATEDIF(I71,J71,"d"),0)</f>
        <v/>
      </c>
    </row>
    <row r="72">
      <c r="A72" s="6" t="inlineStr">
        <is>
          <t>PJ-071</t>
        </is>
      </c>
      <c r="B72" s="6" t="inlineStr">
        <is>
          <t>Smart Parking &amp; Curb Management</t>
        </is>
      </c>
      <c r="C72" s="6" t="inlineStr">
        <is>
          <t>PG-14</t>
        </is>
      </c>
      <c r="D72" s="6" t="inlineStr">
        <is>
          <t>M. Osei</t>
        </is>
      </c>
      <c r="E72" s="6" t="inlineStr">
        <is>
          <t>Transport &amp; Municipality</t>
        </is>
      </c>
      <c r="F72" s="6" t="inlineStr">
        <is>
          <t>4 - Monitoring &amp; Controlling</t>
        </is>
      </c>
      <c r="G72" s="6" t="inlineStr">
        <is>
          <t>Active</t>
        </is>
      </c>
      <c r="H72" s="9" t="inlineStr">
        <is>
          <t>2025-08-11</t>
        </is>
      </c>
      <c r="I72" s="9" t="inlineStr">
        <is>
          <t>2027-01-09</t>
        </is>
      </c>
      <c r="J72" s="9" t="inlineStr">
        <is>
          <t>2027-02-15</t>
        </is>
      </c>
      <c r="K72" s="7" t="n">
        <v>0.584</v>
      </c>
      <c r="L72" s="10" t="n">
        <v>8900000</v>
      </c>
      <c r="M72" s="10" t="n">
        <v>6381782.95</v>
      </c>
      <c r="N72" s="10" t="n">
        <v>5197348.29</v>
      </c>
      <c r="O72" s="10" t="n">
        <v>4394904.31</v>
      </c>
      <c r="P72" s="6" t="inlineStr">
        <is>
          <t>V. Petrova</t>
        </is>
      </c>
      <c r="Q72" s="6" t="inlineStr">
        <is>
          <t>Land the capability in the physical city — mobility, safety, utilities, identity. Delivered under Intelligent Mobility.</t>
        </is>
      </c>
      <c r="R72" s="11">
        <f>N72-M72</f>
        <v/>
      </c>
      <c r="S72" s="11">
        <f>N72-O72</f>
        <v/>
      </c>
      <c r="T72" s="12">
        <f>IFERROR(N72/M72,"")</f>
        <v/>
      </c>
      <c r="U72" s="12">
        <f>IFERROR(N72/O72,"")</f>
        <v/>
      </c>
      <c r="V72" s="11">
        <f>IFERROR(L72/(N72/O72),"")</f>
        <v/>
      </c>
      <c r="W72" s="11">
        <f>IFERROR(L72-(L72/(N72/O72)),"")</f>
        <v/>
      </c>
      <c r="X72" s="13">
        <f>IFERROR(DATEDIF(I72,J72,"d"),0)</f>
        <v/>
      </c>
    </row>
    <row r="73">
      <c r="A73" s="6" t="inlineStr">
        <is>
          <t>PJ-072</t>
        </is>
      </c>
      <c r="B73" s="6" t="inlineStr">
        <is>
          <t>EV Charging Network Optimisation</t>
        </is>
      </c>
      <c r="C73" s="6" t="inlineStr">
        <is>
          <t>PG-14</t>
        </is>
      </c>
      <c r="D73" s="6" t="inlineStr">
        <is>
          <t>M. Osei</t>
        </is>
      </c>
      <c r="E73" s="6" t="inlineStr">
        <is>
          <t>Transport &amp; Municipality</t>
        </is>
      </c>
      <c r="F73" s="6" t="inlineStr">
        <is>
          <t>0 - Requested</t>
        </is>
      </c>
      <c r="G73" s="6" t="inlineStr">
        <is>
          <t>Active</t>
        </is>
      </c>
      <c r="H73" s="9" t="inlineStr">
        <is>
          <t>2026-03-23</t>
        </is>
      </c>
      <c r="I73" s="9" t="inlineStr">
        <is>
          <t>2029-10-30</t>
        </is>
      </c>
      <c r="J73" s="9" t="inlineStr">
        <is>
          <t>2029-10-24</t>
        </is>
      </c>
      <c r="K73" s="7" t="n">
        <v>0</v>
      </c>
      <c r="L73" s="10" t="n">
        <v>63000000</v>
      </c>
      <c r="M73" s="10" t="n">
        <v>0</v>
      </c>
      <c r="N73" s="10" t="n">
        <v>0</v>
      </c>
      <c r="O73" s="10" t="n">
        <v>0</v>
      </c>
      <c r="P73" s="6" t="inlineStr">
        <is>
          <t>V. Petrova</t>
        </is>
      </c>
      <c r="Q73" s="6" t="inlineStr">
        <is>
          <t>Land the capability in the physical city — mobility, safety, utilities, identity. Delivered under Intelligent Mobility.</t>
        </is>
      </c>
      <c r="R73" s="11">
        <f>N73-M73</f>
        <v/>
      </c>
      <c r="S73" s="11">
        <f>N73-O73</f>
        <v/>
      </c>
      <c r="T73" s="12">
        <f>IFERROR(N73/M73,"")</f>
        <v/>
      </c>
      <c r="U73" s="12">
        <f>IFERROR(N73/O73,"")</f>
        <v/>
      </c>
      <c r="V73" s="11">
        <f>IFERROR(L73/(N73/O73),"")</f>
        <v/>
      </c>
      <c r="W73" s="11">
        <f>IFERROR(L73-(L73/(N73/O73)),"")</f>
        <v/>
      </c>
      <c r="X73" s="13">
        <f>IFERROR(DATEDIF(I73,J73,"d"),0)</f>
        <v/>
      </c>
    </row>
    <row r="74">
      <c r="A74" s="6" t="inlineStr">
        <is>
          <t>PJ-073</t>
        </is>
      </c>
      <c r="B74" s="6" t="inlineStr">
        <is>
          <t>Emergency Response Dispatch AI</t>
        </is>
      </c>
      <c r="C74" s="6" t="inlineStr">
        <is>
          <t>PG-15</t>
        </is>
      </c>
      <c r="D74" s="6" t="inlineStr">
        <is>
          <t>B. Okafor</t>
        </is>
      </c>
      <c r="E74" s="6" t="inlineStr">
        <is>
          <t>Finance &amp; Economy</t>
        </is>
      </c>
      <c r="F74" s="6" t="inlineStr">
        <is>
          <t>5 - Closing</t>
        </is>
      </c>
      <c r="G74" s="6" t="inlineStr">
        <is>
          <t>Active</t>
        </is>
      </c>
      <c r="H74" s="9" t="inlineStr">
        <is>
          <t>2026-04-27</t>
        </is>
      </c>
      <c r="I74" s="9" t="inlineStr">
        <is>
          <t>2027-04-17</t>
        </is>
      </c>
      <c r="J74" s="9" t="inlineStr">
        <is>
          <t>2027-05-11</t>
        </is>
      </c>
      <c r="K74" s="7" t="n">
        <v>1</v>
      </c>
      <c r="L74" s="10" t="n">
        <v>110600000</v>
      </c>
      <c r="M74" s="10" t="n">
        <v>102858000</v>
      </c>
      <c r="N74" s="10" t="n">
        <v>110600000</v>
      </c>
      <c r="O74" s="10" t="n">
        <v>94748552.87</v>
      </c>
      <c r="P74" s="6" t="inlineStr">
        <is>
          <t>V. Petrova</t>
        </is>
      </c>
      <c r="Q74" s="6" t="inlineStr">
        <is>
          <t>Land the capability in the physical city — mobility, safety, utilities, identity. Delivered under Public Safety &amp; Emergency AI.</t>
        </is>
      </c>
      <c r="R74" s="11">
        <f>N74-M74</f>
        <v/>
      </c>
      <c r="S74" s="11">
        <f>N74-O74</f>
        <v/>
      </c>
      <c r="T74" s="12">
        <f>IFERROR(N74/M74,"")</f>
        <v/>
      </c>
      <c r="U74" s="12">
        <f>IFERROR(N74/O74,"")</f>
        <v/>
      </c>
      <c r="V74" s="11">
        <f>IFERROR(L74/(N74/O74),"")</f>
        <v/>
      </c>
      <c r="W74" s="11">
        <f>IFERROR(L74-(L74/(N74/O74)),"")</f>
        <v/>
      </c>
      <c r="X74" s="13">
        <f>IFERROR(DATEDIF(I74,J74,"d"),0)</f>
        <v/>
      </c>
    </row>
    <row r="75">
      <c r="A75" s="6" t="inlineStr">
        <is>
          <t>PJ-074</t>
        </is>
      </c>
      <c r="B75" s="6" t="inlineStr">
        <is>
          <t>Flood &amp; Heat Early Warning System</t>
        </is>
      </c>
      <c r="C75" s="6" t="inlineStr">
        <is>
          <t>PG-15</t>
        </is>
      </c>
      <c r="D75" s="6" t="inlineStr">
        <is>
          <t>B. Okafor</t>
        </is>
      </c>
      <c r="E75" s="6" t="inlineStr">
        <is>
          <t>Interior &amp; Safety</t>
        </is>
      </c>
      <c r="F75" s="6" t="inlineStr">
        <is>
          <t>0 - Requested</t>
        </is>
      </c>
      <c r="G75" s="6" t="inlineStr">
        <is>
          <t>Active</t>
        </is>
      </c>
      <c r="H75" s="9" t="inlineStr">
        <is>
          <t>2026-07-26</t>
        </is>
      </c>
      <c r="I75" s="9" t="inlineStr">
        <is>
          <t>2027-11-26</t>
        </is>
      </c>
      <c r="J75" s="9" t="inlineStr">
        <is>
          <t>2027-12-14</t>
        </is>
      </c>
      <c r="K75" s="7" t="n">
        <v>0</v>
      </c>
      <c r="L75" s="10" t="n">
        <v>138700000</v>
      </c>
      <c r="M75" s="10" t="n">
        <v>0</v>
      </c>
      <c r="N75" s="10" t="n">
        <v>0</v>
      </c>
      <c r="O75" s="10" t="n">
        <v>0</v>
      </c>
      <c r="P75" s="6" t="inlineStr">
        <is>
          <t>V. Petrova</t>
        </is>
      </c>
      <c r="Q75" s="6" t="inlineStr">
        <is>
          <t>Land the capability in the physical city — mobility, safety, utilities, identity. Delivered under Public Safety &amp; Emergency AI.</t>
        </is>
      </c>
      <c r="R75" s="11">
        <f>N75-M75</f>
        <v/>
      </c>
      <c r="S75" s="11">
        <f>N75-O75</f>
        <v/>
      </c>
      <c r="T75" s="12">
        <f>IFERROR(N75/M75,"")</f>
        <v/>
      </c>
      <c r="U75" s="12">
        <f>IFERROR(N75/O75,"")</f>
        <v/>
      </c>
      <c r="V75" s="11">
        <f>IFERROR(L75/(N75/O75),"")</f>
        <v/>
      </c>
      <c r="W75" s="11">
        <f>IFERROR(L75-(L75/(N75/O75)),"")</f>
        <v/>
      </c>
      <c r="X75" s="13">
        <f>IFERROR(DATEDIF(I75,J75,"d"),0)</f>
        <v/>
      </c>
    </row>
    <row r="76">
      <c r="A76" s="6" t="inlineStr">
        <is>
          <t>PJ-075</t>
        </is>
      </c>
      <c r="B76" s="6" t="inlineStr">
        <is>
          <t>Crowd Density Monitoring — Major Venues</t>
        </is>
      </c>
      <c r="C76" s="6" t="inlineStr">
        <is>
          <t>PG-15</t>
        </is>
      </c>
      <c r="D76" s="6" t="inlineStr">
        <is>
          <t>B. Okafor</t>
        </is>
      </c>
      <c r="E76" s="6" t="inlineStr">
        <is>
          <t>Interior &amp; Safety</t>
        </is>
      </c>
      <c r="F76" s="6" t="inlineStr">
        <is>
          <t>4 - Monitoring &amp; Controlling</t>
        </is>
      </c>
      <c r="G76" s="6" t="inlineStr">
        <is>
          <t>On Hold</t>
        </is>
      </c>
      <c r="H76" s="9" t="inlineStr">
        <is>
          <t>2026-02-28</t>
        </is>
      </c>
      <c r="I76" s="9" t="inlineStr">
        <is>
          <t>2027-04-23</t>
        </is>
      </c>
      <c r="J76" s="9" t="inlineStr">
        <is>
          <t>2027-04-13</t>
        </is>
      </c>
      <c r="K76" s="7" t="n">
        <v>0.4387</v>
      </c>
      <c r="L76" s="10" t="n">
        <v>3400000</v>
      </c>
      <c r="M76" s="10" t="n">
        <v>1371360.38</v>
      </c>
      <c r="N76" s="10" t="n">
        <v>1491580.76</v>
      </c>
      <c r="O76" s="10" t="n">
        <v>1485951.15</v>
      </c>
      <c r="P76" s="6" t="inlineStr">
        <is>
          <t>V. Petrova</t>
        </is>
      </c>
      <c r="Q76" s="6" t="inlineStr">
        <is>
          <t>Land the capability in the physical city — mobility, safety, utilities, identity. Delivered under Public Safety &amp; Emergency AI.</t>
        </is>
      </c>
      <c r="R76" s="11">
        <f>N76-M76</f>
        <v/>
      </c>
      <c r="S76" s="11">
        <f>N76-O76</f>
        <v/>
      </c>
      <c r="T76" s="12">
        <f>IFERROR(N76/M76,"")</f>
        <v/>
      </c>
      <c r="U76" s="12">
        <f>IFERROR(N76/O76,"")</f>
        <v/>
      </c>
      <c r="V76" s="11">
        <f>IFERROR(L76/(N76/O76),"")</f>
        <v/>
      </c>
      <c r="W76" s="11">
        <f>IFERROR(L76-(L76/(N76/O76)),"")</f>
        <v/>
      </c>
      <c r="X76" s="13">
        <f>IFERROR(DATEDIF(I76,J76,"d"),0)</f>
        <v/>
      </c>
    </row>
    <row r="77">
      <c r="A77" s="6" t="inlineStr">
        <is>
          <t>PJ-076</t>
        </is>
      </c>
      <c r="B77" s="6" t="inlineStr">
        <is>
          <t>Video Analytics Privacy &amp; Governance Framework</t>
        </is>
      </c>
      <c r="C77" s="6" t="inlineStr">
        <is>
          <t>PG-15</t>
        </is>
      </c>
      <c r="D77" s="6" t="inlineStr">
        <is>
          <t>B. Okafor</t>
        </is>
      </c>
      <c r="E77" s="6" t="inlineStr">
        <is>
          <t>Interior &amp; Safety</t>
        </is>
      </c>
      <c r="F77" s="6" t="inlineStr">
        <is>
          <t>0 - Requested</t>
        </is>
      </c>
      <c r="G77" s="6" t="inlineStr">
        <is>
          <t>Active</t>
        </is>
      </c>
      <c r="H77" s="9" t="inlineStr">
        <is>
          <t>2026-05-25</t>
        </is>
      </c>
      <c r="I77" s="9" t="inlineStr">
        <is>
          <t>2027-08-12</t>
        </is>
      </c>
      <c r="J77" s="9" t="inlineStr">
        <is>
          <t>2027-08-04</t>
        </is>
      </c>
      <c r="K77" s="7" t="n">
        <v>0</v>
      </c>
      <c r="L77" s="10" t="n">
        <v>24800000</v>
      </c>
      <c r="M77" s="10" t="n">
        <v>0</v>
      </c>
      <c r="N77" s="10" t="n">
        <v>0</v>
      </c>
      <c r="O77" s="10" t="n">
        <v>0</v>
      </c>
      <c r="P77" s="6" t="inlineStr">
        <is>
          <t>V. Petrova</t>
        </is>
      </c>
      <c r="Q77" s="6" t="inlineStr">
        <is>
          <t>Land the capability in the physical city — mobility, safety, utilities, identity. Delivered under Public Safety &amp; Emergency AI.</t>
        </is>
      </c>
      <c r="R77" s="11">
        <f>N77-M77</f>
        <v/>
      </c>
      <c r="S77" s="11">
        <f>N77-O77</f>
        <v/>
      </c>
      <c r="T77" s="12">
        <f>IFERROR(N77/M77,"")</f>
        <v/>
      </c>
      <c r="U77" s="12">
        <f>IFERROR(N77/O77,"")</f>
        <v/>
      </c>
      <c r="V77" s="11">
        <f>IFERROR(L77/(N77/O77),"")</f>
        <v/>
      </c>
      <c r="W77" s="11">
        <f>IFERROR(L77-(L77/(N77/O77)),"")</f>
        <v/>
      </c>
      <c r="X77" s="13">
        <f>IFERROR(DATEDIF(I77,J77,"d"),0)</f>
        <v/>
      </c>
    </row>
    <row r="78">
      <c r="A78" s="6" t="inlineStr">
        <is>
          <t>PJ-077</t>
        </is>
      </c>
      <c r="B78" s="6" t="inlineStr">
        <is>
          <t>Smart Metering Rollout — 1.2M Premises</t>
        </is>
      </c>
      <c r="C78" s="6" t="inlineStr">
        <is>
          <t>PG-16</t>
        </is>
      </c>
      <c r="D78" s="6" t="inlineStr">
        <is>
          <t>D. Kaur</t>
        </is>
      </c>
      <c r="E78" s="6" t="inlineStr">
        <is>
          <t>Energy &amp; Utilities</t>
        </is>
      </c>
      <c r="F78" s="6" t="inlineStr">
        <is>
          <t>5 - Closing</t>
        </is>
      </c>
      <c r="G78" s="6" t="inlineStr">
        <is>
          <t>Active</t>
        </is>
      </c>
      <c r="H78" s="9" t="inlineStr">
        <is>
          <t>2025-11-03</t>
        </is>
      </c>
      <c r="I78" s="9" t="inlineStr">
        <is>
          <t>2028-11-17</t>
        </is>
      </c>
      <c r="J78" s="9" t="inlineStr">
        <is>
          <t>2028-11-12</t>
        </is>
      </c>
      <c r="K78" s="7" t="n">
        <v>0.97</v>
      </c>
      <c r="L78" s="10" t="n">
        <v>832400000</v>
      </c>
      <c r="M78" s="10" t="n">
        <v>774132000</v>
      </c>
      <c r="N78" s="10" t="n">
        <v>807438550.7</v>
      </c>
      <c r="O78" s="10" t="n">
        <v>764460544.09</v>
      </c>
      <c r="P78" s="6" t="inlineStr">
        <is>
          <t>V. Petrova</t>
        </is>
      </c>
      <c r="Q78" s="6" t="inlineStr">
        <is>
          <t>Land the capability in the physical city — mobility, safety, utilities, identity. Delivered under Smart Utilities &amp; Buildings.</t>
        </is>
      </c>
      <c r="R78" s="11">
        <f>N78-M78</f>
        <v/>
      </c>
      <c r="S78" s="11">
        <f>N78-O78</f>
        <v/>
      </c>
      <c r="T78" s="12">
        <f>IFERROR(N78/M78,"")</f>
        <v/>
      </c>
      <c r="U78" s="12">
        <f>IFERROR(N78/O78,"")</f>
        <v/>
      </c>
      <c r="V78" s="11">
        <f>IFERROR(L78/(N78/O78),"")</f>
        <v/>
      </c>
      <c r="W78" s="11">
        <f>IFERROR(L78-(L78/(N78/O78)),"")</f>
        <v/>
      </c>
      <c r="X78" s="13">
        <f>IFERROR(DATEDIF(I78,J78,"d"),0)</f>
        <v/>
      </c>
    </row>
    <row r="79">
      <c r="A79" s="6" t="inlineStr">
        <is>
          <t>PJ-078</t>
        </is>
      </c>
      <c r="B79" s="6" t="inlineStr">
        <is>
          <t>District Cooling Optimisation</t>
        </is>
      </c>
      <c r="C79" s="6" t="inlineStr">
        <is>
          <t>PG-16</t>
        </is>
      </c>
      <c r="D79" s="6" t="inlineStr">
        <is>
          <t>D. Kaur</t>
        </is>
      </c>
      <c r="E79" s="6" t="inlineStr">
        <is>
          <t>Energy &amp; Utilities</t>
        </is>
      </c>
      <c r="F79" s="6" t="inlineStr">
        <is>
          <t>3 - Executing</t>
        </is>
      </c>
      <c r="G79" s="6" t="inlineStr">
        <is>
          <t>Active</t>
        </is>
      </c>
      <c r="H79" s="9" t="inlineStr">
        <is>
          <t>2026-01-17</t>
        </is>
      </c>
      <c r="I79" s="9" t="inlineStr">
        <is>
          <t>2027-01-06</t>
        </is>
      </c>
      <c r="J79" s="9" t="inlineStr">
        <is>
          <t>2027-01-04</t>
        </is>
      </c>
      <c r="K79" s="7" t="n">
        <v>0.6705</v>
      </c>
      <c r="L79" s="10" t="n">
        <v>125500000</v>
      </c>
      <c r="M79" s="10" t="n">
        <v>74803672.31999999</v>
      </c>
      <c r="N79" s="10" t="n">
        <v>84152029.39</v>
      </c>
      <c r="O79" s="10" t="n">
        <v>78957623.42</v>
      </c>
      <c r="P79" s="6" t="inlineStr">
        <is>
          <t>V. Petrova</t>
        </is>
      </c>
      <c r="Q79" s="6" t="inlineStr">
        <is>
          <t>Land the capability in the physical city — mobility, safety, utilities, identity. Delivered under Smart Utilities &amp; Buildings.</t>
        </is>
      </c>
      <c r="R79" s="11">
        <f>N79-M79</f>
        <v/>
      </c>
      <c r="S79" s="11">
        <f>N79-O79</f>
        <v/>
      </c>
      <c r="T79" s="12">
        <f>IFERROR(N79/M79,"")</f>
        <v/>
      </c>
      <c r="U79" s="12">
        <f>IFERROR(N79/O79,"")</f>
        <v/>
      </c>
      <c r="V79" s="11">
        <f>IFERROR(L79/(N79/O79),"")</f>
        <v/>
      </c>
      <c r="W79" s="11">
        <f>IFERROR(L79-(L79/(N79/O79)),"")</f>
        <v/>
      </c>
      <c r="X79" s="13">
        <f>IFERROR(DATEDIF(I79,J79,"d"),0)</f>
        <v/>
      </c>
    </row>
    <row r="80">
      <c r="A80" s="6" t="inlineStr">
        <is>
          <t>PJ-079</t>
        </is>
      </c>
      <c r="B80" s="6" t="inlineStr">
        <is>
          <t>Building Energy Management AI</t>
        </is>
      </c>
      <c r="C80" s="6" t="inlineStr">
        <is>
          <t>PG-16</t>
        </is>
      </c>
      <c r="D80" s="6" t="inlineStr">
        <is>
          <t>D. Kaur</t>
        </is>
      </c>
      <c r="E80" s="6" t="inlineStr">
        <is>
          <t>Energy &amp; Utilities</t>
        </is>
      </c>
      <c r="F80" s="6" t="inlineStr">
        <is>
          <t>0 - Requested</t>
        </is>
      </c>
      <c r="G80" s="6" t="inlineStr">
        <is>
          <t>Active</t>
        </is>
      </c>
      <c r="H80" s="9" t="inlineStr">
        <is>
          <t>2026-07-19</t>
        </is>
      </c>
      <c r="I80" s="9" t="inlineStr">
        <is>
          <t>2027-04-22</t>
        </is>
      </c>
      <c r="J80" s="9" t="inlineStr">
        <is>
          <t>2027-05-19</t>
        </is>
      </c>
      <c r="K80" s="7" t="n">
        <v>0</v>
      </c>
      <c r="L80" s="10" t="n">
        <v>111400000</v>
      </c>
      <c r="M80" s="10" t="n">
        <v>0</v>
      </c>
      <c r="N80" s="10" t="n">
        <v>0</v>
      </c>
      <c r="O80" s="10" t="n">
        <v>0</v>
      </c>
      <c r="P80" s="6" t="inlineStr">
        <is>
          <t>V. Petrova</t>
        </is>
      </c>
      <c r="Q80" s="6" t="inlineStr">
        <is>
          <t>Land the capability in the physical city — mobility, safety, utilities, identity. Delivered under Smart Utilities &amp; Buildings.</t>
        </is>
      </c>
      <c r="R80" s="11">
        <f>N80-M80</f>
        <v/>
      </c>
      <c r="S80" s="11">
        <f>N80-O80</f>
        <v/>
      </c>
      <c r="T80" s="12">
        <f>IFERROR(N80/M80,"")</f>
        <v/>
      </c>
      <c r="U80" s="12">
        <f>IFERROR(N80/O80,"")</f>
        <v/>
      </c>
      <c r="V80" s="11">
        <f>IFERROR(L80/(N80/O80),"")</f>
        <v/>
      </c>
      <c r="W80" s="11">
        <f>IFERROR(L80-(L80/(N80/O80)),"")</f>
        <v/>
      </c>
      <c r="X80" s="13">
        <f>IFERROR(DATEDIF(I80,J80,"d"),0)</f>
        <v/>
      </c>
    </row>
    <row r="81">
      <c r="A81" s="6" t="inlineStr">
        <is>
          <t>PJ-080</t>
        </is>
      </c>
      <c r="B81" s="6" t="inlineStr">
        <is>
          <t>Waste Collection Route Optimisation</t>
        </is>
      </c>
      <c r="C81" s="6" t="inlineStr">
        <is>
          <t>PG-16</t>
        </is>
      </c>
      <c r="D81" s="6" t="inlineStr">
        <is>
          <t>D. Kaur</t>
        </is>
      </c>
      <c r="E81" s="6" t="inlineStr">
        <is>
          <t>Energy &amp; Utilities</t>
        </is>
      </c>
      <c r="F81" s="6" t="inlineStr">
        <is>
          <t>1 - Initiating</t>
        </is>
      </c>
      <c r="G81" s="6" t="inlineStr">
        <is>
          <t>Active</t>
        </is>
      </c>
      <c r="H81" s="9" t="inlineStr">
        <is>
          <t>2026-01-12</t>
        </is>
      </c>
      <c r="I81" s="9" t="inlineStr">
        <is>
          <t>2027-01-09</t>
        </is>
      </c>
      <c r="J81" s="9" t="inlineStr">
        <is>
          <t>2027-01-28</t>
        </is>
      </c>
      <c r="K81" s="7" t="n">
        <v>0.0989</v>
      </c>
      <c r="L81" s="10" t="n">
        <v>17500000</v>
      </c>
      <c r="M81" s="10" t="n">
        <v>1750000</v>
      </c>
      <c r="N81" s="10" t="n">
        <v>1730133.32</v>
      </c>
      <c r="O81" s="10" t="n">
        <v>1857160.54</v>
      </c>
      <c r="P81" s="6" t="inlineStr">
        <is>
          <t>V. Petrova</t>
        </is>
      </c>
      <c r="Q81" s="6" t="inlineStr">
        <is>
          <t>Land the capability in the physical city — mobility, safety, utilities, identity. Delivered under Smart Utilities &amp; Buildings.</t>
        </is>
      </c>
      <c r="R81" s="11">
        <f>N81-M81</f>
        <v/>
      </c>
      <c r="S81" s="11">
        <f>N81-O81</f>
        <v/>
      </c>
      <c r="T81" s="12">
        <f>IFERROR(N81/M81,"")</f>
        <v/>
      </c>
      <c r="U81" s="12">
        <f>IFERROR(N81/O81,"")</f>
        <v/>
      </c>
      <c r="V81" s="11">
        <f>IFERROR(L81/(N81/O81),"")</f>
        <v/>
      </c>
      <c r="W81" s="11">
        <f>IFERROR(L81-(L81/(N81/O81)),"")</f>
        <v/>
      </c>
      <c r="X81" s="13">
        <f>IFERROR(DATEDIF(I81,J81,"d"),0)</f>
        <v/>
      </c>
    </row>
    <row r="82">
      <c r="A82" s="6" t="inlineStr">
        <is>
          <t>PJ-081</t>
        </is>
      </c>
      <c r="B82" s="6" t="inlineStr">
        <is>
          <t>Unified Digital Identity Wallet</t>
        </is>
      </c>
      <c r="C82" s="6" t="inlineStr">
        <is>
          <t>PG-17</t>
        </is>
      </c>
      <c r="D82" s="6" t="inlineStr">
        <is>
          <t>E. Castellani</t>
        </is>
      </c>
      <c r="E82" s="6" t="inlineStr">
        <is>
          <t>Interior &amp; Safety</t>
        </is>
      </c>
      <c r="F82" s="6" t="inlineStr">
        <is>
          <t>3 - Executing</t>
        </is>
      </c>
      <c r="G82" s="6" t="inlineStr">
        <is>
          <t>Active</t>
        </is>
      </c>
      <c r="H82" s="9" t="inlineStr">
        <is>
          <t>2025-10-09</t>
        </is>
      </c>
      <c r="I82" s="9" t="inlineStr">
        <is>
          <t>2026-12-30</t>
        </is>
      </c>
      <c r="J82" s="9" t="inlineStr">
        <is>
          <t>2027-01-08</t>
        </is>
      </c>
      <c r="K82" s="7" t="n">
        <v>0.6944</v>
      </c>
      <c r="L82" s="10" t="n">
        <v>340200000</v>
      </c>
      <c r="M82" s="10" t="n">
        <v>236693959.73</v>
      </c>
      <c r="N82" s="10" t="n">
        <v>236248862.15</v>
      </c>
      <c r="O82" s="10" t="n">
        <v>224492955.49</v>
      </c>
      <c r="P82" s="6" t="inlineStr">
        <is>
          <t>V. Petrova</t>
        </is>
      </c>
      <c r="Q82" s="6" t="inlineStr">
        <is>
          <t>Land the capability in the physical city — mobility, safety, utilities, identity. Delivered under Citizen Experience &amp; Digital ID.</t>
        </is>
      </c>
      <c r="R82" s="11">
        <f>N82-M82</f>
        <v/>
      </c>
      <c r="S82" s="11">
        <f>N82-O82</f>
        <v/>
      </c>
      <c r="T82" s="12">
        <f>IFERROR(N82/M82,"")</f>
        <v/>
      </c>
      <c r="U82" s="12">
        <f>IFERROR(N82/O82,"")</f>
        <v/>
      </c>
      <c r="V82" s="11">
        <f>IFERROR(L82/(N82/O82),"")</f>
        <v/>
      </c>
      <c r="W82" s="11">
        <f>IFERROR(L82-(L82/(N82/O82)),"")</f>
        <v/>
      </c>
      <c r="X82" s="13">
        <f>IFERROR(DATEDIF(I82,J82,"d"),0)</f>
        <v/>
      </c>
    </row>
    <row r="83">
      <c r="A83" s="6" t="inlineStr">
        <is>
          <t>PJ-082</t>
        </is>
      </c>
      <c r="B83" s="6" t="inlineStr">
        <is>
          <t>Single Citizen Portal Consolidation</t>
        </is>
      </c>
      <c r="C83" s="6" t="inlineStr">
        <is>
          <t>PG-17</t>
        </is>
      </c>
      <c r="D83" s="6" t="inlineStr">
        <is>
          <t>E. Castellani</t>
        </is>
      </c>
      <c r="E83" s="6" t="inlineStr">
        <is>
          <t>Interior &amp; Safety</t>
        </is>
      </c>
      <c r="F83" s="6" t="inlineStr">
        <is>
          <t>0 - Requested</t>
        </is>
      </c>
      <c r="G83" s="6" t="inlineStr">
        <is>
          <t>Active</t>
        </is>
      </c>
      <c r="H83" s="9" t="inlineStr">
        <is>
          <t>2026-05-21</t>
        </is>
      </c>
      <c r="I83" s="9" t="inlineStr">
        <is>
          <t>2026-10-25</t>
        </is>
      </c>
      <c r="J83" s="9" t="inlineStr">
        <is>
          <t>2026-11-04</t>
        </is>
      </c>
      <c r="K83" s="7" t="n">
        <v>0</v>
      </c>
      <c r="L83" s="10" t="n">
        <v>26700000</v>
      </c>
      <c r="M83" s="10" t="n">
        <v>0</v>
      </c>
      <c r="N83" s="10" t="n">
        <v>0</v>
      </c>
      <c r="O83" s="10" t="n">
        <v>0</v>
      </c>
      <c r="P83" s="6" t="inlineStr">
        <is>
          <t>V. Petrova</t>
        </is>
      </c>
      <c r="Q83" s="6" t="inlineStr">
        <is>
          <t>Land the capability in the physical city — mobility, safety, utilities, identity. Delivered under Citizen Experience &amp; Digital ID.</t>
        </is>
      </c>
      <c r="R83" s="11">
        <f>N83-M83</f>
        <v/>
      </c>
      <c r="S83" s="11">
        <f>N83-O83</f>
        <v/>
      </c>
      <c r="T83" s="12">
        <f>IFERROR(N83/M83,"")</f>
        <v/>
      </c>
      <c r="U83" s="12">
        <f>IFERROR(N83/O83,"")</f>
        <v/>
      </c>
      <c r="V83" s="11">
        <f>IFERROR(L83/(N83/O83),"")</f>
        <v/>
      </c>
      <c r="W83" s="11">
        <f>IFERROR(L83-(L83/(N83/O83)),"")</f>
        <v/>
      </c>
      <c r="X83" s="13">
        <f>IFERROR(DATEDIF(I83,J83,"d"),0)</f>
        <v/>
      </c>
    </row>
    <row r="84">
      <c r="A84" s="6" t="inlineStr">
        <is>
          <t>PJ-083</t>
        </is>
      </c>
      <c r="B84" s="6" t="inlineStr">
        <is>
          <t>Multilingual Citizen Assistant</t>
        </is>
      </c>
      <c r="C84" s="6" t="inlineStr">
        <is>
          <t>PG-17</t>
        </is>
      </c>
      <c r="D84" s="6" t="inlineStr">
        <is>
          <t>E. Castellani</t>
        </is>
      </c>
      <c r="E84" s="6" t="inlineStr">
        <is>
          <t>Transport &amp; Municipality</t>
        </is>
      </c>
      <c r="F84" s="6" t="inlineStr">
        <is>
          <t>2 - Planning</t>
        </is>
      </c>
      <c r="G84" s="6" t="inlineStr">
        <is>
          <t>Active</t>
        </is>
      </c>
      <c r="H84" s="9" t="inlineStr">
        <is>
          <t>2025-07-09</t>
        </is>
      </c>
      <c r="I84" s="9" t="inlineStr">
        <is>
          <t>2026-12-19</t>
        </is>
      </c>
      <c r="J84" s="9" t="inlineStr">
        <is>
          <t>2027-01-25</t>
        </is>
      </c>
      <c r="K84" s="7" t="n">
        <v>0.2252</v>
      </c>
      <c r="L84" s="10" t="n">
        <v>96300000</v>
      </c>
      <c r="M84" s="10" t="n">
        <v>26964000</v>
      </c>
      <c r="N84" s="10" t="n">
        <v>21683503.88</v>
      </c>
      <c r="O84" s="10" t="n">
        <v>18796671.07</v>
      </c>
      <c r="P84" s="6" t="inlineStr">
        <is>
          <t>V. Petrova</t>
        </is>
      </c>
      <c r="Q84" s="6" t="inlineStr">
        <is>
          <t>Land the capability in the physical city — mobility, safety, utilities, identity. Delivered under Citizen Experience &amp; Digital ID.</t>
        </is>
      </c>
      <c r="R84" s="11">
        <f>N84-M84</f>
        <v/>
      </c>
      <c r="S84" s="11">
        <f>N84-O84</f>
        <v/>
      </c>
      <c r="T84" s="12">
        <f>IFERROR(N84/M84,"")</f>
        <v/>
      </c>
      <c r="U84" s="12">
        <f>IFERROR(N84/O84,"")</f>
        <v/>
      </c>
      <c r="V84" s="11">
        <f>IFERROR(L84/(N84/O84),"")</f>
        <v/>
      </c>
      <c r="W84" s="11">
        <f>IFERROR(L84-(L84/(N84/O84)),"")</f>
        <v/>
      </c>
      <c r="X84" s="13">
        <f>IFERROR(DATEDIF(I84,J84,"d"),0)</f>
        <v/>
      </c>
    </row>
    <row r="85">
      <c r="A85" s="6" t="inlineStr">
        <is>
          <t>PJ-084</t>
        </is>
      </c>
      <c r="B85" s="6" t="inlineStr">
        <is>
          <t>Accessibility &amp; Inclusion Programme</t>
        </is>
      </c>
      <c r="C85" s="6" t="inlineStr">
        <is>
          <t>PG-17</t>
        </is>
      </c>
      <c r="D85" s="6" t="inlineStr">
        <is>
          <t>E. Castellani</t>
        </is>
      </c>
      <c r="E85" s="6" t="inlineStr">
        <is>
          <t>Interior &amp; Safety</t>
        </is>
      </c>
      <c r="F85" s="6" t="inlineStr">
        <is>
          <t>2 - Planning</t>
        </is>
      </c>
      <c r="G85" s="6" t="inlineStr">
        <is>
          <t>Active</t>
        </is>
      </c>
      <c r="H85" s="9" t="inlineStr">
        <is>
          <t>2025-12-15</t>
        </is>
      </c>
      <c r="I85" s="9" t="inlineStr">
        <is>
          <t>2027-06-25</t>
        </is>
      </c>
      <c r="J85" s="9" t="inlineStr">
        <is>
          <t>2027-08-16</t>
        </is>
      </c>
      <c r="K85" s="7" t="n">
        <v>0.2439</v>
      </c>
      <c r="L85" s="10" t="n">
        <v>15400000</v>
      </c>
      <c r="M85" s="10" t="n">
        <v>4312000</v>
      </c>
      <c r="N85" s="10" t="n">
        <v>3756784.85</v>
      </c>
      <c r="O85" s="10" t="n">
        <v>4003330.53</v>
      </c>
      <c r="P85" s="6" t="inlineStr">
        <is>
          <t>V. Petrova</t>
        </is>
      </c>
      <c r="Q85" s="6" t="inlineStr">
        <is>
          <t>Land the capability in the physical city — mobility, safety, utilities, identity. Delivered under Citizen Experience &amp; Digital ID.</t>
        </is>
      </c>
      <c r="R85" s="11">
        <f>N85-M85</f>
        <v/>
      </c>
      <c r="S85" s="11">
        <f>N85-O85</f>
        <v/>
      </c>
      <c r="T85" s="12">
        <f>IFERROR(N85/M85,"")</f>
        <v/>
      </c>
      <c r="U85" s="12">
        <f>IFERROR(N85/O85,"")</f>
        <v/>
      </c>
      <c r="V85" s="11">
        <f>IFERROR(L85/(N85/O85),"")</f>
        <v/>
      </c>
      <c r="W85" s="11">
        <f>IFERROR(L85-(L85/(N85/O85)),"")</f>
        <v/>
      </c>
      <c r="X85" s="13">
        <f>IFERROR(DATEDIF(I85,J85,"d"),0)</f>
        <v/>
      </c>
    </row>
  </sheetData>
  <autoFilter ref="A1:X85"/>
  <dataValidations count="2">
    <dataValidation sqref="F2:F485" showDropDown="0" showInputMessage="0" showErrorMessage="0" allowBlank="1" type="list">
      <formula1>"0 - Requested,1 - Initiating,2 - Planning,3 - Executing,4 - Monitoring &amp; Controlling,5 - Closing"</formula1>
    </dataValidation>
    <dataValidation sqref="G2:G485" showDropDown="0" showInputMessage="0" showErrorMessage="0" allowBlank="1" type="list">
      <formula1>"Active,On Hold,Closed,Cancelled"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74"/>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32" customWidth="1" min="3" max="3"/>
    <col width="16" customWidth="1" min="4" max="4"/>
    <col width="16" customWidth="1" min="5" max="5"/>
    <col width="14" customWidth="1" min="6" max="6"/>
    <col width="11" customWidth="1" min="7" max="7"/>
  </cols>
  <sheetData>
    <row r="1" ht="30" customHeight="1">
      <c r="A1" s="5" t="inlineStr">
        <is>
          <t>MilestoneID</t>
        </is>
      </c>
      <c r="B1" s="5" t="inlineStr">
        <is>
          <t>ProjectID</t>
        </is>
      </c>
      <c r="C1" s="5" t="inlineStr">
        <is>
          <t>MilestoneName</t>
        </is>
      </c>
      <c r="D1" s="5" t="inlineStr">
        <is>
          <t>BaselineDate</t>
        </is>
      </c>
      <c r="E1" s="5" t="inlineStr">
        <is>
          <t>ForecastDate</t>
        </is>
      </c>
      <c r="F1" s="5" t="inlineStr">
        <is>
          <t>ActualDate</t>
        </is>
      </c>
      <c r="G1" s="5" t="inlineStr">
        <is>
          <t>Status</t>
        </is>
      </c>
    </row>
    <row r="2">
      <c r="A2" s="6" t="inlineStr">
        <is>
          <t>MS-0001</t>
        </is>
      </c>
      <c r="B2" s="6" t="inlineStr">
        <is>
          <t>PJ-001</t>
        </is>
      </c>
      <c r="C2" s="6" t="inlineStr">
        <is>
          <t>Land &amp; Permits Secured</t>
        </is>
      </c>
      <c r="D2" s="9" t="inlineStr">
        <is>
          <t>2024-01-13</t>
        </is>
      </c>
      <c r="E2" s="9" t="inlineStr">
        <is>
          <t>2024-01-14</t>
        </is>
      </c>
      <c r="F2" s="9" t="inlineStr">
        <is>
          <t>2024-01-14</t>
        </is>
      </c>
      <c r="G2" s="6" t="inlineStr">
        <is>
          <t>Complete</t>
        </is>
      </c>
    </row>
    <row r="3">
      <c r="A3" s="6" t="inlineStr">
        <is>
          <t>MS-0002</t>
        </is>
      </c>
      <c r="B3" s="6" t="inlineStr">
        <is>
          <t>PJ-001</t>
        </is>
      </c>
      <c r="C3" s="6" t="inlineStr">
        <is>
          <t>Design Authority Approval</t>
        </is>
      </c>
      <c r="D3" s="9" t="inlineStr">
        <is>
          <t>2024-08-12</t>
        </is>
      </c>
      <c r="E3" s="9" t="inlineStr">
        <is>
          <t>2024-09-23</t>
        </is>
      </c>
      <c r="F3" s="9" t="inlineStr">
        <is>
          <t>2024-09-23</t>
        </is>
      </c>
      <c r="G3" s="6" t="inlineStr">
        <is>
          <t>Complete</t>
        </is>
      </c>
    </row>
    <row r="4">
      <c r="A4" s="6" t="inlineStr">
        <is>
          <t>MS-0003</t>
        </is>
      </c>
      <c r="B4" s="6" t="inlineStr">
        <is>
          <t>PJ-001</t>
        </is>
      </c>
      <c r="C4" s="6" t="inlineStr">
        <is>
          <t>Power Energisation</t>
        </is>
      </c>
      <c r="D4" s="9" t="inlineStr">
        <is>
          <t>2025-03-12</t>
        </is>
      </c>
      <c r="E4" s="9" t="inlineStr">
        <is>
          <t>2025-04-19</t>
        </is>
      </c>
      <c r="F4" s="9" t="inlineStr"/>
      <c r="G4" s="6" t="inlineStr">
        <is>
          <t>Overdue</t>
        </is>
      </c>
    </row>
    <row r="5">
      <c r="A5" s="6" t="inlineStr">
        <is>
          <t>MS-0004</t>
        </is>
      </c>
      <c r="B5" s="6" t="inlineStr">
        <is>
          <t>PJ-001</t>
        </is>
      </c>
      <c r="C5" s="6" t="inlineStr">
        <is>
          <t>Equipment Installation Complete</t>
        </is>
      </c>
      <c r="D5" s="9" t="inlineStr">
        <is>
          <t>2025-10-11</t>
        </is>
      </c>
      <c r="E5" s="9" t="inlineStr">
        <is>
          <t>2025-11-26</t>
        </is>
      </c>
      <c r="F5" s="9" t="inlineStr">
        <is>
          <t>2025-11-26</t>
        </is>
      </c>
      <c r="G5" s="6" t="inlineStr">
        <is>
          <t>Complete</t>
        </is>
      </c>
    </row>
    <row r="6">
      <c r="A6" s="6" t="inlineStr">
        <is>
          <t>MS-0005</t>
        </is>
      </c>
      <c r="B6" s="6" t="inlineStr">
        <is>
          <t>PJ-001</t>
        </is>
      </c>
      <c r="C6" s="6" t="inlineStr">
        <is>
          <t>Commissioning &amp; Test</t>
        </is>
      </c>
      <c r="D6" s="9" t="inlineStr">
        <is>
          <t>2026-05-11</t>
        </is>
      </c>
      <c r="E6" s="9" t="inlineStr">
        <is>
          <t>2026-05-07</t>
        </is>
      </c>
      <c r="F6" s="9" t="inlineStr">
        <is>
          <t>2026-05-07</t>
        </is>
      </c>
      <c r="G6" s="6" t="inlineStr">
        <is>
          <t>Complete</t>
        </is>
      </c>
    </row>
    <row r="7">
      <c r="A7" s="6" t="inlineStr">
        <is>
          <t>MS-0006</t>
        </is>
      </c>
      <c r="B7" s="6" t="inlineStr">
        <is>
          <t>PJ-001</t>
        </is>
      </c>
      <c r="C7" s="6" t="inlineStr">
        <is>
          <t>Operational Handover</t>
        </is>
      </c>
      <c r="D7" s="9" t="inlineStr">
        <is>
          <t>2026-12-09</t>
        </is>
      </c>
      <c r="E7" s="9" t="inlineStr">
        <is>
          <t>2026-12-07</t>
        </is>
      </c>
      <c r="F7" s="9" t="inlineStr"/>
      <c r="G7" s="6" t="inlineStr">
        <is>
          <t>Planned</t>
        </is>
      </c>
    </row>
    <row r="8">
      <c r="A8" s="6" t="inlineStr">
        <is>
          <t>MS-0007</t>
        </is>
      </c>
      <c r="B8" s="6" t="inlineStr">
        <is>
          <t>PJ-002</t>
        </is>
      </c>
      <c r="C8" s="6" t="inlineStr">
        <is>
          <t>Site Selection Approved</t>
        </is>
      </c>
      <c r="D8" s="9" t="inlineStr">
        <is>
          <t>2024-05-21</t>
        </is>
      </c>
      <c r="E8" s="9" t="inlineStr">
        <is>
          <t>2024-05-20</t>
        </is>
      </c>
      <c r="F8" s="9" t="inlineStr">
        <is>
          <t>2024-05-20</t>
        </is>
      </c>
      <c r="G8" s="6" t="inlineStr">
        <is>
          <t>Complete</t>
        </is>
      </c>
    </row>
    <row r="9">
      <c r="A9" s="6" t="inlineStr">
        <is>
          <t>MS-0008</t>
        </is>
      </c>
      <c r="B9" s="6" t="inlineStr">
        <is>
          <t>PJ-002</t>
        </is>
      </c>
      <c r="C9" s="6" t="inlineStr">
        <is>
          <t>Grid Connection Agreement</t>
        </is>
      </c>
      <c r="D9" s="9" t="inlineStr">
        <is>
          <t>2024-10-13</t>
        </is>
      </c>
      <c r="E9" s="9" t="inlineStr">
        <is>
          <t>2024-11-28</t>
        </is>
      </c>
      <c r="F9" s="9" t="inlineStr">
        <is>
          <t>2024-11-28</t>
        </is>
      </c>
      <c r="G9" s="6" t="inlineStr">
        <is>
          <t>Complete</t>
        </is>
      </c>
    </row>
    <row r="10">
      <c r="A10" s="6" t="inlineStr">
        <is>
          <t>MS-0009</t>
        </is>
      </c>
      <c r="B10" s="6" t="inlineStr">
        <is>
          <t>PJ-002</t>
        </is>
      </c>
      <c r="C10" s="6" t="inlineStr">
        <is>
          <t>Construction Start</t>
        </is>
      </c>
      <c r="D10" s="9" t="inlineStr">
        <is>
          <t>2025-03-07</t>
        </is>
      </c>
      <c r="E10" s="9" t="inlineStr">
        <is>
          <t>2025-03-12</t>
        </is>
      </c>
      <c r="F10" s="9" t="inlineStr">
        <is>
          <t>2025-03-12</t>
        </is>
      </c>
      <c r="G10" s="6" t="inlineStr">
        <is>
          <t>Complete</t>
        </is>
      </c>
    </row>
    <row r="11">
      <c r="A11" s="6" t="inlineStr">
        <is>
          <t>MS-0010</t>
        </is>
      </c>
      <c r="B11" s="6" t="inlineStr">
        <is>
          <t>PJ-002</t>
        </is>
      </c>
      <c r="C11" s="6" t="inlineStr">
        <is>
          <t>Power Energisation</t>
        </is>
      </c>
      <c r="D11" s="9" t="inlineStr">
        <is>
          <t>2025-07-30</t>
        </is>
      </c>
      <c r="E11" s="9" t="inlineStr">
        <is>
          <t>2025-09-14</t>
        </is>
      </c>
      <c r="F11" s="9" t="inlineStr">
        <is>
          <t>2025-09-14</t>
        </is>
      </c>
      <c r="G11" s="6" t="inlineStr">
        <is>
          <t>Complete</t>
        </is>
      </c>
    </row>
    <row r="12">
      <c r="A12" s="6" t="inlineStr">
        <is>
          <t>MS-0011</t>
        </is>
      </c>
      <c r="B12" s="6" t="inlineStr">
        <is>
          <t>PJ-002</t>
        </is>
      </c>
      <c r="C12" s="6" t="inlineStr">
        <is>
          <t>Equipment Installation Complete</t>
        </is>
      </c>
      <c r="D12" s="9" t="inlineStr">
        <is>
          <t>2025-12-22</t>
        </is>
      </c>
      <c r="E12" s="9" t="inlineStr">
        <is>
          <t>2025-12-27</t>
        </is>
      </c>
      <c r="F12" s="9" t="inlineStr">
        <is>
          <t>2025-12-27</t>
        </is>
      </c>
      <c r="G12" s="6" t="inlineStr">
        <is>
          <t>Complete</t>
        </is>
      </c>
    </row>
    <row r="13">
      <c r="A13" s="6" t="inlineStr">
        <is>
          <t>MS-0012</t>
        </is>
      </c>
      <c r="B13" s="6" t="inlineStr">
        <is>
          <t>PJ-002</t>
        </is>
      </c>
      <c r="C13" s="6" t="inlineStr">
        <is>
          <t>Commissioning &amp; Test</t>
        </is>
      </c>
      <c r="D13" s="9" t="inlineStr">
        <is>
          <t>2026-05-16</t>
        </is>
      </c>
      <c r="E13" s="9" t="inlineStr">
        <is>
          <t>2026-06-20</t>
        </is>
      </c>
      <c r="F13" s="9" t="inlineStr">
        <is>
          <t>2026-06-20</t>
        </is>
      </c>
      <c r="G13" s="6" t="inlineStr">
        <is>
          <t>Complete</t>
        </is>
      </c>
    </row>
    <row r="14">
      <c r="A14" s="6" t="inlineStr">
        <is>
          <t>MS-0013</t>
        </is>
      </c>
      <c r="B14" s="6" t="inlineStr">
        <is>
          <t>PJ-002</t>
        </is>
      </c>
      <c r="C14" s="6" t="inlineStr">
        <is>
          <t>Operational Handover</t>
        </is>
      </c>
      <c r="D14" s="9" t="inlineStr">
        <is>
          <t>2026-10-08</t>
        </is>
      </c>
      <c r="E14" s="9" t="inlineStr">
        <is>
          <t>2026-10-18</t>
        </is>
      </c>
      <c r="F14" s="9" t="inlineStr"/>
      <c r="G14" s="6" t="inlineStr">
        <is>
          <t>Planned</t>
        </is>
      </c>
    </row>
    <row r="15">
      <c r="A15" s="6" t="inlineStr">
        <is>
          <t>MS-0014</t>
        </is>
      </c>
      <c r="B15" s="6" t="inlineStr">
        <is>
          <t>PJ-003</t>
        </is>
      </c>
      <c r="C15" s="6" t="inlineStr">
        <is>
          <t>Site Selection Approved</t>
        </is>
      </c>
      <c r="D15" s="9" t="inlineStr">
        <is>
          <t>2024-10-11</t>
        </is>
      </c>
      <c r="E15" s="9" t="inlineStr">
        <is>
          <t>2024-10-15</t>
        </is>
      </c>
      <c r="F15" s="9" t="inlineStr"/>
      <c r="G15" s="6" t="inlineStr">
        <is>
          <t>Overdue</t>
        </is>
      </c>
    </row>
    <row r="16">
      <c r="A16" s="6" t="inlineStr">
        <is>
          <t>MS-0015</t>
        </is>
      </c>
      <c r="B16" s="6" t="inlineStr">
        <is>
          <t>PJ-003</t>
        </is>
      </c>
      <c r="C16" s="6" t="inlineStr">
        <is>
          <t>Land &amp; Permits Secured</t>
        </is>
      </c>
      <c r="D16" s="9" t="inlineStr">
        <is>
          <t>2025-05-05</t>
        </is>
      </c>
      <c r="E16" s="9" t="inlineStr">
        <is>
          <t>2025-05-11</t>
        </is>
      </c>
      <c r="F16" s="9" t="inlineStr">
        <is>
          <t>2025-05-11</t>
        </is>
      </c>
      <c r="G16" s="6" t="inlineStr">
        <is>
          <t>Complete</t>
        </is>
      </c>
    </row>
    <row r="17">
      <c r="A17" s="6" t="inlineStr">
        <is>
          <t>MS-0016</t>
        </is>
      </c>
      <c r="B17" s="6" t="inlineStr">
        <is>
          <t>PJ-003</t>
        </is>
      </c>
      <c r="C17" s="6" t="inlineStr">
        <is>
          <t>Grid Connection Agreement</t>
        </is>
      </c>
      <c r="D17" s="9" t="inlineStr">
        <is>
          <t>2025-11-28</t>
        </is>
      </c>
      <c r="E17" s="9" t="inlineStr">
        <is>
          <t>2025-11-22</t>
        </is>
      </c>
      <c r="F17" s="9" t="inlineStr">
        <is>
          <t>2025-11-22</t>
        </is>
      </c>
      <c r="G17" s="6" t="inlineStr">
        <is>
          <t>Complete</t>
        </is>
      </c>
    </row>
    <row r="18">
      <c r="A18" s="6" t="inlineStr">
        <is>
          <t>MS-0017</t>
        </is>
      </c>
      <c r="B18" s="6" t="inlineStr">
        <is>
          <t>PJ-003</t>
        </is>
      </c>
      <c r="C18" s="6" t="inlineStr">
        <is>
          <t>Design Authority Approval</t>
        </is>
      </c>
      <c r="D18" s="9" t="inlineStr">
        <is>
          <t>2026-06-22</t>
        </is>
      </c>
      <c r="E18" s="9" t="inlineStr">
        <is>
          <t>2026-07-08</t>
        </is>
      </c>
      <c r="F18" s="9" t="inlineStr">
        <is>
          <t>2026-07-08</t>
        </is>
      </c>
      <c r="G18" s="6" t="inlineStr">
        <is>
          <t>Complete</t>
        </is>
      </c>
    </row>
    <row r="19">
      <c r="A19" s="6" t="inlineStr">
        <is>
          <t>MS-0018</t>
        </is>
      </c>
      <c r="B19" s="6" t="inlineStr">
        <is>
          <t>PJ-003</t>
        </is>
      </c>
      <c r="C19" s="6" t="inlineStr">
        <is>
          <t>Construction Start</t>
        </is>
      </c>
      <c r="D19" s="9" t="inlineStr">
        <is>
          <t>2027-01-15</t>
        </is>
      </c>
      <c r="E19" s="9" t="inlineStr">
        <is>
          <t>2027-01-11</t>
        </is>
      </c>
      <c r="F19" s="9" t="inlineStr"/>
      <c r="G19" s="6" t="inlineStr">
        <is>
          <t>Planned</t>
        </is>
      </c>
    </row>
    <row r="20">
      <c r="A20" s="6" t="inlineStr">
        <is>
          <t>MS-0019</t>
        </is>
      </c>
      <c r="B20" s="6" t="inlineStr">
        <is>
          <t>PJ-003</t>
        </is>
      </c>
      <c r="C20" s="6" t="inlineStr">
        <is>
          <t>Power Energisation</t>
        </is>
      </c>
      <c r="D20" s="9" t="inlineStr">
        <is>
          <t>2027-08-09</t>
        </is>
      </c>
      <c r="E20" s="9" t="inlineStr">
        <is>
          <t>2027-08-04</t>
        </is>
      </c>
      <c r="F20" s="9" t="inlineStr"/>
      <c r="G20" s="6" t="inlineStr">
        <is>
          <t>Planned</t>
        </is>
      </c>
    </row>
    <row r="21">
      <c r="A21" s="6" t="inlineStr">
        <is>
          <t>MS-0020</t>
        </is>
      </c>
      <c r="B21" s="6" t="inlineStr">
        <is>
          <t>PJ-004</t>
        </is>
      </c>
      <c r="C21" s="6" t="inlineStr">
        <is>
          <t>Site Selection Approved</t>
        </is>
      </c>
      <c r="D21" s="9" t="inlineStr">
        <is>
          <t>2025-09-19</t>
        </is>
      </c>
      <c r="E21" s="9" t="inlineStr">
        <is>
          <t>2025-09-29</t>
        </is>
      </c>
      <c r="F21" s="9" t="inlineStr">
        <is>
          <t>2025-09-29</t>
        </is>
      </c>
      <c r="G21" s="6" t="inlineStr">
        <is>
          <t>Complete</t>
        </is>
      </c>
    </row>
    <row r="22">
      <c r="A22" s="6" t="inlineStr">
        <is>
          <t>MS-0021</t>
        </is>
      </c>
      <c r="B22" s="6" t="inlineStr">
        <is>
          <t>PJ-004</t>
        </is>
      </c>
      <c r="C22" s="6" t="inlineStr">
        <is>
          <t>Land &amp; Permits Secured</t>
        </is>
      </c>
      <c r="D22" s="9" t="inlineStr">
        <is>
          <t>2026-02-21</t>
        </is>
      </c>
      <c r="E22" s="9" t="inlineStr">
        <is>
          <t>2026-02-23</t>
        </is>
      </c>
      <c r="F22" s="9" t="inlineStr">
        <is>
          <t>2026-02-23</t>
        </is>
      </c>
      <c r="G22" s="6" t="inlineStr">
        <is>
          <t>Complete</t>
        </is>
      </c>
    </row>
    <row r="23">
      <c r="A23" s="6" t="inlineStr">
        <is>
          <t>MS-0022</t>
        </is>
      </c>
      <c r="B23" s="6" t="inlineStr">
        <is>
          <t>PJ-004</t>
        </is>
      </c>
      <c r="C23" s="6" t="inlineStr">
        <is>
          <t>Design Authority Approval</t>
        </is>
      </c>
      <c r="D23" s="9" t="inlineStr">
        <is>
          <t>2026-07-25</t>
        </is>
      </c>
      <c r="E23" s="9" t="inlineStr">
        <is>
          <t>2026-08-19</t>
        </is>
      </c>
      <c r="F23" s="9" t="inlineStr"/>
      <c r="G23" s="6" t="inlineStr">
        <is>
          <t>Planned</t>
        </is>
      </c>
    </row>
    <row r="24">
      <c r="A24" s="6" t="inlineStr">
        <is>
          <t>MS-0023</t>
        </is>
      </c>
      <c r="B24" s="6" t="inlineStr">
        <is>
          <t>PJ-004</t>
        </is>
      </c>
      <c r="C24" s="6" t="inlineStr">
        <is>
          <t>Construction Start</t>
        </is>
      </c>
      <c r="D24" s="9" t="inlineStr">
        <is>
          <t>2026-12-27</t>
        </is>
      </c>
      <c r="E24" s="9" t="inlineStr">
        <is>
          <t>2027-01-08</t>
        </is>
      </c>
      <c r="F24" s="9" t="inlineStr"/>
      <c r="G24" s="6" t="inlineStr">
        <is>
          <t>Planned</t>
        </is>
      </c>
    </row>
    <row r="25">
      <c r="A25" s="6" t="inlineStr">
        <is>
          <t>MS-0024</t>
        </is>
      </c>
      <c r="B25" s="6" t="inlineStr">
        <is>
          <t>PJ-004</t>
        </is>
      </c>
      <c r="C25" s="6" t="inlineStr">
        <is>
          <t>Power Energisation</t>
        </is>
      </c>
      <c r="D25" s="9" t="inlineStr">
        <is>
          <t>2027-05-30</t>
        </is>
      </c>
      <c r="E25" s="9" t="inlineStr">
        <is>
          <t>2027-05-30</t>
        </is>
      </c>
      <c r="F25" s="9" t="inlineStr"/>
      <c r="G25" s="6" t="inlineStr">
        <is>
          <t>Planned</t>
        </is>
      </c>
    </row>
    <row r="26">
      <c r="A26" s="6" t="inlineStr">
        <is>
          <t>MS-0025</t>
        </is>
      </c>
      <c r="B26" s="6" t="inlineStr">
        <is>
          <t>PJ-004</t>
        </is>
      </c>
      <c r="C26" s="6" t="inlineStr">
        <is>
          <t>Equipment Installation Complete</t>
        </is>
      </c>
      <c r="D26" s="9" t="inlineStr">
        <is>
          <t>2027-11-01</t>
        </is>
      </c>
      <c r="E26" s="9" t="inlineStr">
        <is>
          <t>2027-11-05</t>
        </is>
      </c>
      <c r="F26" s="9" t="inlineStr"/>
      <c r="G26" s="6" t="inlineStr">
        <is>
          <t>Planned</t>
        </is>
      </c>
    </row>
    <row r="27">
      <c r="A27" s="6" t="inlineStr">
        <is>
          <t>MS-0026</t>
        </is>
      </c>
      <c r="B27" s="6" t="inlineStr">
        <is>
          <t>PJ-004</t>
        </is>
      </c>
      <c r="C27" s="6" t="inlineStr">
        <is>
          <t>Commissioning &amp; Test</t>
        </is>
      </c>
      <c r="D27" s="9" t="inlineStr">
        <is>
          <t>2028-04-03</t>
        </is>
      </c>
      <c r="E27" s="9" t="inlineStr">
        <is>
          <t>2028-04-09</t>
        </is>
      </c>
      <c r="F27" s="9" t="inlineStr"/>
      <c r="G27" s="6" t="inlineStr">
        <is>
          <t>Planned</t>
        </is>
      </c>
    </row>
    <row r="28">
      <c r="A28" s="6" t="inlineStr">
        <is>
          <t>MS-0027</t>
        </is>
      </c>
      <c r="B28" s="6" t="inlineStr">
        <is>
          <t>PJ-005</t>
        </is>
      </c>
      <c r="C28" s="6" t="inlineStr">
        <is>
          <t>Site Selection Approved</t>
        </is>
      </c>
      <c r="D28" s="9" t="inlineStr">
        <is>
          <t>2025-11-27</t>
        </is>
      </c>
      <c r="E28" s="9" t="inlineStr">
        <is>
          <t>2025-12-11</t>
        </is>
      </c>
      <c r="F28" s="9" t="inlineStr">
        <is>
          <t>2025-12-11</t>
        </is>
      </c>
      <c r="G28" s="6" t="inlineStr">
        <is>
          <t>Complete</t>
        </is>
      </c>
    </row>
    <row r="29">
      <c r="A29" s="6" t="inlineStr">
        <is>
          <t>MS-0028</t>
        </is>
      </c>
      <c r="B29" s="6" t="inlineStr">
        <is>
          <t>PJ-005</t>
        </is>
      </c>
      <c r="C29" s="6" t="inlineStr">
        <is>
          <t>Land &amp; Permits Secured</t>
        </is>
      </c>
      <c r="D29" s="9" t="inlineStr">
        <is>
          <t>2026-02-20</t>
        </is>
      </c>
      <c r="E29" s="9" t="inlineStr">
        <is>
          <t>2026-03-16</t>
        </is>
      </c>
      <c r="F29" s="9" t="inlineStr">
        <is>
          <t>2026-03-16</t>
        </is>
      </c>
      <c r="G29" s="6" t="inlineStr">
        <is>
          <t>Complete</t>
        </is>
      </c>
    </row>
    <row r="30">
      <c r="A30" s="6" t="inlineStr">
        <is>
          <t>MS-0029</t>
        </is>
      </c>
      <c r="B30" s="6" t="inlineStr">
        <is>
          <t>PJ-005</t>
        </is>
      </c>
      <c r="C30" s="6" t="inlineStr">
        <is>
          <t>Grid Connection Agreement</t>
        </is>
      </c>
      <c r="D30" s="9" t="inlineStr">
        <is>
          <t>2026-05-16</t>
        </is>
      </c>
      <c r="E30" s="9" t="inlineStr">
        <is>
          <t>2026-06-19</t>
        </is>
      </c>
      <c r="F30" s="9" t="inlineStr">
        <is>
          <t>2026-06-19</t>
        </is>
      </c>
      <c r="G30" s="6" t="inlineStr">
        <is>
          <t>Complete</t>
        </is>
      </c>
    </row>
    <row r="31">
      <c r="A31" s="6" t="inlineStr">
        <is>
          <t>MS-0030</t>
        </is>
      </c>
      <c r="B31" s="6" t="inlineStr">
        <is>
          <t>PJ-005</t>
        </is>
      </c>
      <c r="C31" s="6" t="inlineStr">
        <is>
          <t>Design Authority Approval</t>
        </is>
      </c>
      <c r="D31" s="9" t="inlineStr">
        <is>
          <t>2026-08-09</t>
        </is>
      </c>
      <c r="E31" s="9" t="inlineStr">
        <is>
          <t>2026-08-12</t>
        </is>
      </c>
      <c r="F31" s="9" t="inlineStr">
        <is>
          <t>2026-08-12</t>
        </is>
      </c>
      <c r="G31" s="6" t="inlineStr">
        <is>
          <t>Complete</t>
        </is>
      </c>
    </row>
    <row r="32">
      <c r="A32" s="6" t="inlineStr">
        <is>
          <t>MS-0031</t>
        </is>
      </c>
      <c r="B32" s="6" t="inlineStr">
        <is>
          <t>PJ-005</t>
        </is>
      </c>
      <c r="C32" s="6" t="inlineStr">
        <is>
          <t>Equipment Installation Complete</t>
        </is>
      </c>
      <c r="D32" s="9" t="inlineStr">
        <is>
          <t>2026-11-01</t>
        </is>
      </c>
      <c r="E32" s="9" t="inlineStr">
        <is>
          <t>2026-11-13</t>
        </is>
      </c>
      <c r="F32" s="9" t="inlineStr"/>
      <c r="G32" s="6" t="inlineStr">
        <is>
          <t>Planned</t>
        </is>
      </c>
    </row>
    <row r="33">
      <c r="A33" s="6" t="inlineStr">
        <is>
          <t>MS-0032</t>
        </is>
      </c>
      <c r="B33" s="6" t="inlineStr">
        <is>
          <t>PJ-005</t>
        </is>
      </c>
      <c r="C33" s="6" t="inlineStr">
        <is>
          <t>Commissioning &amp; Test</t>
        </is>
      </c>
      <c r="D33" s="9" t="inlineStr">
        <is>
          <t>2027-01-25</t>
        </is>
      </c>
      <c r="E33" s="9" t="inlineStr">
        <is>
          <t>2027-01-30</t>
        </is>
      </c>
      <c r="F33" s="9" t="inlineStr"/>
      <c r="G33" s="6" t="inlineStr">
        <is>
          <t>Planned</t>
        </is>
      </c>
    </row>
    <row r="34">
      <c r="A34" s="6" t="inlineStr">
        <is>
          <t>MS-0033</t>
        </is>
      </c>
      <c r="B34" s="6" t="inlineStr">
        <is>
          <t>PJ-005</t>
        </is>
      </c>
      <c r="C34" s="6" t="inlineStr">
        <is>
          <t>Operational Handover</t>
        </is>
      </c>
      <c r="D34" s="9" t="inlineStr">
        <is>
          <t>2027-04-20</t>
        </is>
      </c>
      <c r="E34" s="9" t="inlineStr">
        <is>
          <t>2027-04-30</t>
        </is>
      </c>
      <c r="F34" s="9" t="inlineStr"/>
      <c r="G34" s="6" t="inlineStr">
        <is>
          <t>Planned</t>
        </is>
      </c>
    </row>
    <row r="35">
      <c r="A35" s="6" t="inlineStr">
        <is>
          <t>MS-0034</t>
        </is>
      </c>
      <c r="B35" s="6" t="inlineStr">
        <is>
          <t>PJ-006</t>
        </is>
      </c>
      <c r="C35" s="6" t="inlineStr">
        <is>
          <t>Architecture Baselined</t>
        </is>
      </c>
      <c r="D35" s="9" t="inlineStr">
        <is>
          <t>2025-11-05</t>
        </is>
      </c>
      <c r="E35" s="9" t="inlineStr">
        <is>
          <t>2025-11-01</t>
        </is>
      </c>
      <c r="F35" s="9" t="inlineStr">
        <is>
          <t>2025-11-01</t>
        </is>
      </c>
      <c r="G35" s="6" t="inlineStr">
        <is>
          <t>Complete</t>
        </is>
      </c>
    </row>
    <row r="36">
      <c r="A36" s="6" t="inlineStr">
        <is>
          <t>MS-0035</t>
        </is>
      </c>
      <c r="B36" s="6" t="inlineStr">
        <is>
          <t>PJ-006</t>
        </is>
      </c>
      <c r="C36" s="6" t="inlineStr">
        <is>
          <t>Environment Provisioned</t>
        </is>
      </c>
      <c r="D36" s="9" t="inlineStr">
        <is>
          <t>2026-02-01</t>
        </is>
      </c>
      <c r="E36" s="9" t="inlineStr">
        <is>
          <t>2026-02-16</t>
        </is>
      </c>
      <c r="F36" s="9" t="inlineStr">
        <is>
          <t>2026-02-16</t>
        </is>
      </c>
      <c r="G36" s="6" t="inlineStr">
        <is>
          <t>Complete</t>
        </is>
      </c>
    </row>
    <row r="37">
      <c r="A37" s="6" t="inlineStr">
        <is>
          <t>MS-0036</t>
        </is>
      </c>
      <c r="B37" s="6" t="inlineStr">
        <is>
          <t>PJ-006</t>
        </is>
      </c>
      <c r="C37" s="6" t="inlineStr">
        <is>
          <t>Production Go-Live</t>
        </is>
      </c>
      <c r="D37" s="9" t="inlineStr">
        <is>
          <t>2026-04-30</t>
        </is>
      </c>
      <c r="E37" s="9" t="inlineStr">
        <is>
          <t>2026-04-26</t>
        </is>
      </c>
      <c r="F37" s="9" t="inlineStr">
        <is>
          <t>2026-04-26</t>
        </is>
      </c>
      <c r="G37" s="6" t="inlineStr">
        <is>
          <t>Complete</t>
        </is>
      </c>
    </row>
    <row r="38">
      <c r="A38" s="6" t="inlineStr">
        <is>
          <t>MS-0037</t>
        </is>
      </c>
      <c r="B38" s="6" t="inlineStr">
        <is>
          <t>PJ-006</t>
        </is>
      </c>
      <c r="C38" s="6" t="inlineStr">
        <is>
          <t>Benefits Review</t>
        </is>
      </c>
      <c r="D38" s="9" t="inlineStr">
        <is>
          <t>2026-07-27</t>
        </is>
      </c>
      <c r="E38" s="9" t="inlineStr">
        <is>
          <t>2026-07-25</t>
        </is>
      </c>
      <c r="F38" s="9" t="inlineStr"/>
      <c r="G38" s="6" t="inlineStr">
        <is>
          <t>Overdue</t>
        </is>
      </c>
    </row>
    <row r="39">
      <c r="A39" s="6" t="inlineStr">
        <is>
          <t>MS-0038</t>
        </is>
      </c>
      <c r="B39" s="6" t="inlineStr">
        <is>
          <t>PJ-007</t>
        </is>
      </c>
      <c r="C39" s="6" t="inlineStr">
        <is>
          <t>Counterpart Engagement Opened</t>
        </is>
      </c>
      <c r="D39" s="9" t="inlineStr">
        <is>
          <t>2026-03-29</t>
        </is>
      </c>
      <c r="E39" s="9" t="inlineStr">
        <is>
          <t>2026-03-31</t>
        </is>
      </c>
      <c r="F39" s="9" t="inlineStr">
        <is>
          <t>2026-03-31</t>
        </is>
      </c>
      <c r="G39" s="6" t="inlineStr">
        <is>
          <t>Complete</t>
        </is>
      </c>
    </row>
    <row r="40">
      <c r="A40" s="6" t="inlineStr">
        <is>
          <t>MS-0039</t>
        </is>
      </c>
      <c r="B40" s="6" t="inlineStr">
        <is>
          <t>PJ-007</t>
        </is>
      </c>
      <c r="C40" s="6" t="inlineStr">
        <is>
          <t>Legal &amp; Compliance Review</t>
        </is>
      </c>
      <c r="D40" s="9" t="inlineStr">
        <is>
          <t>2026-05-27</t>
        </is>
      </c>
      <c r="E40" s="9" t="inlineStr">
        <is>
          <t>2026-06-25</t>
        </is>
      </c>
      <c r="F40" s="9" t="inlineStr">
        <is>
          <t>2026-06-25</t>
        </is>
      </c>
      <c r="G40" s="6" t="inlineStr">
        <is>
          <t>Complete</t>
        </is>
      </c>
    </row>
    <row r="41">
      <c r="A41" s="6" t="inlineStr">
        <is>
          <t>MS-0040</t>
        </is>
      </c>
      <c r="B41" s="6" t="inlineStr">
        <is>
          <t>PJ-007</t>
        </is>
      </c>
      <c r="C41" s="6" t="inlineStr">
        <is>
          <t>Cabinet / Board Approval</t>
        </is>
      </c>
      <c r="D41" s="9" t="inlineStr">
        <is>
          <t>2026-07-25</t>
        </is>
      </c>
      <c r="E41" s="9" t="inlineStr">
        <is>
          <t>2026-08-07</t>
        </is>
      </c>
      <c r="F41" s="9" t="inlineStr">
        <is>
          <t>2026-08-07</t>
        </is>
      </c>
      <c r="G41" s="6" t="inlineStr">
        <is>
          <t>Complete</t>
        </is>
      </c>
    </row>
    <row r="42">
      <c r="A42" s="6" t="inlineStr">
        <is>
          <t>MS-0041</t>
        </is>
      </c>
      <c r="B42" s="6" t="inlineStr">
        <is>
          <t>PJ-007</t>
        </is>
      </c>
      <c r="C42" s="6" t="inlineStr">
        <is>
          <t>Signature</t>
        </is>
      </c>
      <c r="D42" s="9" t="inlineStr">
        <is>
          <t>2026-09-22</t>
        </is>
      </c>
      <c r="E42" s="9" t="inlineStr">
        <is>
          <t>2026-10-09</t>
        </is>
      </c>
      <c r="F42" s="9" t="inlineStr"/>
      <c r="G42" s="6" t="inlineStr">
        <is>
          <t>Planned</t>
        </is>
      </c>
    </row>
    <row r="43">
      <c r="A43" s="6" t="inlineStr">
        <is>
          <t>MS-0042</t>
        </is>
      </c>
      <c r="B43" s="6" t="inlineStr">
        <is>
          <t>PJ-007</t>
        </is>
      </c>
      <c r="C43" s="6" t="inlineStr">
        <is>
          <t>Ratification Complete</t>
        </is>
      </c>
      <c r="D43" s="9" t="inlineStr">
        <is>
          <t>2026-11-20</t>
        </is>
      </c>
      <c r="E43" s="9" t="inlineStr">
        <is>
          <t>2026-11-26</t>
        </is>
      </c>
      <c r="F43" s="9" t="inlineStr"/>
      <c r="G43" s="6" t="inlineStr">
        <is>
          <t>Planned</t>
        </is>
      </c>
    </row>
    <row r="44">
      <c r="A44" s="6" t="inlineStr">
        <is>
          <t>MS-0043</t>
        </is>
      </c>
      <c r="B44" s="6" t="inlineStr">
        <is>
          <t>PJ-007</t>
        </is>
      </c>
      <c r="C44" s="6" t="inlineStr">
        <is>
          <t>First Delivery Received</t>
        </is>
      </c>
      <c r="D44" s="9" t="inlineStr">
        <is>
          <t>2027-01-18</t>
        </is>
      </c>
      <c r="E44" s="9" t="inlineStr">
        <is>
          <t>2027-02-05</t>
        </is>
      </c>
      <c r="F44" s="9" t="inlineStr"/>
      <c r="G44" s="6" t="inlineStr">
        <is>
          <t>Planned</t>
        </is>
      </c>
    </row>
    <row r="45">
      <c r="A45" s="6" t="inlineStr">
        <is>
          <t>MS-0044</t>
        </is>
      </c>
      <c r="B45" s="6" t="inlineStr">
        <is>
          <t>PJ-008</t>
        </is>
      </c>
      <c r="C45" s="6" t="inlineStr">
        <is>
          <t>Mandate Approved</t>
        </is>
      </c>
      <c r="D45" s="9" t="inlineStr">
        <is>
          <t>2025-12-31</t>
        </is>
      </c>
      <c r="E45" s="9" t="inlineStr">
        <is>
          <t>2026-01-26</t>
        </is>
      </c>
      <c r="F45" s="9" t="inlineStr">
        <is>
          <t>2026-01-26</t>
        </is>
      </c>
      <c r="G45" s="6" t="inlineStr">
        <is>
          <t>Complete</t>
        </is>
      </c>
    </row>
    <row r="46">
      <c r="A46" s="6" t="inlineStr">
        <is>
          <t>MS-0045</t>
        </is>
      </c>
      <c r="B46" s="6" t="inlineStr">
        <is>
          <t>PJ-008</t>
        </is>
      </c>
      <c r="C46" s="6" t="inlineStr">
        <is>
          <t>Term Sheet Agreed</t>
        </is>
      </c>
      <c r="D46" s="9" t="inlineStr">
        <is>
          <t>2026-02-21</t>
        </is>
      </c>
      <c r="E46" s="9" t="inlineStr">
        <is>
          <t>2026-03-01</t>
        </is>
      </c>
      <c r="F46" s="9" t="inlineStr">
        <is>
          <t>2026-03-01</t>
        </is>
      </c>
      <c r="G46" s="6" t="inlineStr">
        <is>
          <t>Complete</t>
        </is>
      </c>
    </row>
    <row r="47">
      <c r="A47" s="6" t="inlineStr">
        <is>
          <t>MS-0046</t>
        </is>
      </c>
      <c r="B47" s="6" t="inlineStr">
        <is>
          <t>PJ-008</t>
        </is>
      </c>
      <c r="C47" s="6" t="inlineStr">
        <is>
          <t>Legal &amp; Compliance Review</t>
        </is>
      </c>
      <c r="D47" s="9" t="inlineStr">
        <is>
          <t>2026-04-14</t>
        </is>
      </c>
      <c r="E47" s="9" t="inlineStr">
        <is>
          <t>2026-04-22</t>
        </is>
      </c>
      <c r="F47" s="9" t="inlineStr"/>
      <c r="G47" s="6" t="inlineStr">
        <is>
          <t>Overdue</t>
        </is>
      </c>
    </row>
    <row r="48">
      <c r="A48" s="6" t="inlineStr">
        <is>
          <t>MS-0047</t>
        </is>
      </c>
      <c r="B48" s="6" t="inlineStr">
        <is>
          <t>PJ-008</t>
        </is>
      </c>
      <c r="C48" s="6" t="inlineStr">
        <is>
          <t>Signature</t>
        </is>
      </c>
      <c r="D48" s="9" t="inlineStr">
        <is>
          <t>2026-06-05</t>
        </is>
      </c>
      <c r="E48" s="9" t="inlineStr">
        <is>
          <t>2026-06-16</t>
        </is>
      </c>
      <c r="F48" s="9" t="inlineStr"/>
      <c r="G48" s="6" t="inlineStr">
        <is>
          <t>Overdue</t>
        </is>
      </c>
    </row>
    <row r="49">
      <c r="A49" s="6" t="inlineStr">
        <is>
          <t>MS-0048</t>
        </is>
      </c>
      <c r="B49" s="6" t="inlineStr">
        <is>
          <t>PJ-008</t>
        </is>
      </c>
      <c r="C49" s="6" t="inlineStr">
        <is>
          <t>Ratification Complete</t>
        </is>
      </c>
      <c r="D49" s="9" t="inlineStr">
        <is>
          <t>2026-07-27</t>
        </is>
      </c>
      <c r="E49" s="9" t="inlineStr">
        <is>
          <t>2026-07-21</t>
        </is>
      </c>
      <c r="F49" s="9" t="inlineStr">
        <is>
          <t>2026-07-21</t>
        </is>
      </c>
      <c r="G49" s="6" t="inlineStr">
        <is>
          <t>Complete</t>
        </is>
      </c>
    </row>
    <row r="50">
      <c r="A50" s="6" t="inlineStr">
        <is>
          <t>MS-0049</t>
        </is>
      </c>
      <c r="B50" s="6" t="inlineStr">
        <is>
          <t>PJ-008</t>
        </is>
      </c>
      <c r="C50" s="6" t="inlineStr">
        <is>
          <t>First Delivery Received</t>
        </is>
      </c>
      <c r="D50" s="9" t="inlineStr">
        <is>
          <t>2026-09-17</t>
        </is>
      </c>
      <c r="E50" s="9" t="inlineStr">
        <is>
          <t>2026-09-11</t>
        </is>
      </c>
      <c r="F50" s="9" t="inlineStr"/>
      <c r="G50" s="6" t="inlineStr">
        <is>
          <t>Planned</t>
        </is>
      </c>
    </row>
    <row r="51">
      <c r="A51" s="6" t="inlineStr">
        <is>
          <t>MS-0050</t>
        </is>
      </c>
      <c r="B51" s="6" t="inlineStr">
        <is>
          <t>PJ-009</t>
        </is>
      </c>
      <c r="C51" s="6" t="inlineStr">
        <is>
          <t>Mandate Approved</t>
        </is>
      </c>
      <c r="D51" s="9" t="inlineStr">
        <is>
          <t>2026-01-02</t>
        </is>
      </c>
      <c r="E51" s="9" t="inlineStr">
        <is>
          <t>2026-01-18</t>
        </is>
      </c>
      <c r="F51" s="9" t="inlineStr">
        <is>
          <t>2026-01-18</t>
        </is>
      </c>
      <c r="G51" s="6" t="inlineStr">
        <is>
          <t>Complete</t>
        </is>
      </c>
    </row>
    <row r="52">
      <c r="A52" s="6" t="inlineStr">
        <is>
          <t>MS-0051</t>
        </is>
      </c>
      <c r="B52" s="6" t="inlineStr">
        <is>
          <t>PJ-009</t>
        </is>
      </c>
      <c r="C52" s="6" t="inlineStr">
        <is>
          <t>Counterpart Engagement Opened</t>
        </is>
      </c>
      <c r="D52" s="9" t="inlineStr">
        <is>
          <t>2026-02-16</t>
        </is>
      </c>
      <c r="E52" s="9" t="inlineStr">
        <is>
          <t>2026-03-05</t>
        </is>
      </c>
      <c r="F52" s="9" t="inlineStr">
        <is>
          <t>2026-03-05</t>
        </is>
      </c>
      <c r="G52" s="6" t="inlineStr">
        <is>
          <t>Complete</t>
        </is>
      </c>
    </row>
    <row r="53">
      <c r="A53" s="6" t="inlineStr">
        <is>
          <t>MS-0052</t>
        </is>
      </c>
      <c r="B53" s="6" t="inlineStr">
        <is>
          <t>PJ-009</t>
        </is>
      </c>
      <c r="C53" s="6" t="inlineStr">
        <is>
          <t>Term Sheet Agreed</t>
        </is>
      </c>
      <c r="D53" s="9" t="inlineStr">
        <is>
          <t>2026-04-01</t>
        </is>
      </c>
      <c r="E53" s="9" t="inlineStr">
        <is>
          <t>2026-04-17</t>
        </is>
      </c>
      <c r="F53" s="9" t="inlineStr"/>
      <c r="G53" s="6" t="inlineStr">
        <is>
          <t>Overdue</t>
        </is>
      </c>
    </row>
    <row r="54">
      <c r="A54" s="6" t="inlineStr">
        <is>
          <t>MS-0053</t>
        </is>
      </c>
      <c r="B54" s="6" t="inlineStr">
        <is>
          <t>PJ-009</t>
        </is>
      </c>
      <c r="C54" s="6" t="inlineStr">
        <is>
          <t>Legal &amp; Compliance Review</t>
        </is>
      </c>
      <c r="D54" s="9" t="inlineStr">
        <is>
          <t>2026-05-16</t>
        </is>
      </c>
      <c r="E54" s="9" t="inlineStr">
        <is>
          <t>2026-05-17</t>
        </is>
      </c>
      <c r="F54" s="9" t="inlineStr"/>
      <c r="G54" s="6" t="inlineStr">
        <is>
          <t>Overdue</t>
        </is>
      </c>
    </row>
    <row r="55">
      <c r="A55" s="6" t="inlineStr">
        <is>
          <t>MS-0054</t>
        </is>
      </c>
      <c r="B55" s="6" t="inlineStr">
        <is>
          <t>PJ-009</t>
        </is>
      </c>
      <c r="C55" s="6" t="inlineStr">
        <is>
          <t>Cabinet / Board Approval</t>
        </is>
      </c>
      <c r="D55" s="9" t="inlineStr">
        <is>
          <t>2026-06-30</t>
        </is>
      </c>
      <c r="E55" s="9" t="inlineStr">
        <is>
          <t>2026-07-05</t>
        </is>
      </c>
      <c r="F55" s="9" t="inlineStr">
        <is>
          <t>2026-07-05</t>
        </is>
      </c>
      <c r="G55" s="6" t="inlineStr">
        <is>
          <t>Complete</t>
        </is>
      </c>
    </row>
    <row r="56">
      <c r="A56" s="6" t="inlineStr">
        <is>
          <t>MS-0055</t>
        </is>
      </c>
      <c r="B56" s="6" t="inlineStr">
        <is>
          <t>PJ-009</t>
        </is>
      </c>
      <c r="C56" s="6" t="inlineStr">
        <is>
          <t>Signature</t>
        </is>
      </c>
      <c r="D56" s="9" t="inlineStr">
        <is>
          <t>2026-08-13</t>
        </is>
      </c>
      <c r="E56" s="9" t="inlineStr">
        <is>
          <t>2026-08-10</t>
        </is>
      </c>
      <c r="F56" s="9" t="inlineStr">
        <is>
          <t>2026-08-10</t>
        </is>
      </c>
      <c r="G56" s="6" t="inlineStr">
        <is>
          <t>Complete</t>
        </is>
      </c>
    </row>
    <row r="57">
      <c r="A57" s="6" t="inlineStr">
        <is>
          <t>MS-0056</t>
        </is>
      </c>
      <c r="B57" s="6" t="inlineStr">
        <is>
          <t>PJ-009</t>
        </is>
      </c>
      <c r="C57" s="6" t="inlineStr">
        <is>
          <t>First Delivery Received</t>
        </is>
      </c>
      <c r="D57" s="9" t="inlineStr">
        <is>
          <t>2026-09-27</t>
        </is>
      </c>
      <c r="E57" s="9" t="inlineStr">
        <is>
          <t>2026-10-01</t>
        </is>
      </c>
      <c r="F57" s="9" t="inlineStr"/>
      <c r="G57" s="6" t="inlineStr">
        <is>
          <t>Planned</t>
        </is>
      </c>
    </row>
    <row r="58">
      <c r="A58" s="6" t="inlineStr">
        <is>
          <t>MS-0057</t>
        </is>
      </c>
      <c r="B58" s="6" t="inlineStr">
        <is>
          <t>PJ-010</t>
        </is>
      </c>
      <c r="C58" s="6" t="inlineStr">
        <is>
          <t>Mandate Approved</t>
        </is>
      </c>
      <c r="D58" s="9" t="inlineStr">
        <is>
          <t>2026-08-14</t>
        </is>
      </c>
      <c r="E58" s="9" t="inlineStr">
        <is>
          <t>2026-08-28</t>
        </is>
      </c>
      <c r="F58" s="9" t="inlineStr"/>
      <c r="G58" s="6" t="inlineStr">
        <is>
          <t>Planned</t>
        </is>
      </c>
    </row>
    <row r="59">
      <c r="A59" s="6" t="inlineStr">
        <is>
          <t>MS-0058</t>
        </is>
      </c>
      <c r="B59" s="6" t="inlineStr">
        <is>
          <t>PJ-010</t>
        </is>
      </c>
      <c r="C59" s="6" t="inlineStr">
        <is>
          <t>Legal &amp; Compliance Review</t>
        </is>
      </c>
      <c r="D59" s="9" t="inlineStr">
        <is>
          <t>2026-11-15</t>
        </is>
      </c>
      <c r="E59" s="9" t="inlineStr">
        <is>
          <t>2026-12-16</t>
        </is>
      </c>
      <c r="F59" s="9" t="inlineStr"/>
      <c r="G59" s="6" t="inlineStr">
        <is>
          <t>Planned</t>
        </is>
      </c>
    </row>
    <row r="60">
      <c r="A60" s="6" t="inlineStr">
        <is>
          <t>MS-0059</t>
        </is>
      </c>
      <c r="B60" s="6" t="inlineStr">
        <is>
          <t>PJ-010</t>
        </is>
      </c>
      <c r="C60" s="6" t="inlineStr">
        <is>
          <t>Signature</t>
        </is>
      </c>
      <c r="D60" s="9" t="inlineStr">
        <is>
          <t>2027-02-16</t>
        </is>
      </c>
      <c r="E60" s="9" t="inlineStr">
        <is>
          <t>2027-03-09</t>
        </is>
      </c>
      <c r="F60" s="9" t="inlineStr"/>
      <c r="G60" s="6" t="inlineStr">
        <is>
          <t>Planned</t>
        </is>
      </c>
    </row>
    <row r="61">
      <c r="A61" s="6" t="inlineStr">
        <is>
          <t>MS-0060</t>
        </is>
      </c>
      <c r="B61" s="6" t="inlineStr">
        <is>
          <t>PJ-010</t>
        </is>
      </c>
      <c r="C61" s="6" t="inlineStr">
        <is>
          <t>First Delivery Received</t>
        </is>
      </c>
      <c r="D61" s="9" t="inlineStr">
        <is>
          <t>2027-05-20</t>
        </is>
      </c>
      <c r="E61" s="9" t="inlineStr">
        <is>
          <t>2027-06-30</t>
        </is>
      </c>
      <c r="F61" s="9" t="inlineStr"/>
      <c r="G61" s="6" t="inlineStr">
        <is>
          <t>Planned</t>
        </is>
      </c>
    </row>
    <row r="62">
      <c r="A62" s="6" t="inlineStr">
        <is>
          <t>MS-0061</t>
        </is>
      </c>
      <c r="B62" s="6" t="inlineStr">
        <is>
          <t>PJ-011</t>
        </is>
      </c>
      <c r="C62" s="6" t="inlineStr">
        <is>
          <t>Mandate Approved</t>
        </is>
      </c>
      <c r="D62" s="9" t="inlineStr">
        <is>
          <t>2026-06-10</t>
        </is>
      </c>
      <c r="E62" s="9" t="inlineStr">
        <is>
          <t>2026-06-08</t>
        </is>
      </c>
      <c r="F62" s="9" t="inlineStr">
        <is>
          <t>2026-06-08</t>
        </is>
      </c>
      <c r="G62" s="6" t="inlineStr">
        <is>
          <t>Complete</t>
        </is>
      </c>
    </row>
    <row r="63">
      <c r="A63" s="6" t="inlineStr">
        <is>
          <t>MS-0062</t>
        </is>
      </c>
      <c r="B63" s="6" t="inlineStr">
        <is>
          <t>PJ-011</t>
        </is>
      </c>
      <c r="C63" s="6" t="inlineStr">
        <is>
          <t>Counterpart Engagement Opened</t>
        </is>
      </c>
      <c r="D63" s="9" t="inlineStr">
        <is>
          <t>2026-07-08</t>
        </is>
      </c>
      <c r="E63" s="9" t="inlineStr">
        <is>
          <t>2026-07-02</t>
        </is>
      </c>
      <c r="F63" s="9" t="inlineStr">
        <is>
          <t>2026-07-02</t>
        </is>
      </c>
      <c r="G63" s="6" t="inlineStr">
        <is>
          <t>Complete</t>
        </is>
      </c>
    </row>
    <row r="64">
      <c r="A64" s="6" t="inlineStr">
        <is>
          <t>MS-0063</t>
        </is>
      </c>
      <c r="B64" s="6" t="inlineStr">
        <is>
          <t>PJ-011</t>
        </is>
      </c>
      <c r="C64" s="6" t="inlineStr">
        <is>
          <t>Term Sheet Agreed</t>
        </is>
      </c>
      <c r="D64" s="9" t="inlineStr">
        <is>
          <t>2026-08-04</t>
        </is>
      </c>
      <c r="E64" s="9" t="inlineStr">
        <is>
          <t>2026-08-16</t>
        </is>
      </c>
      <c r="F64" s="9" t="inlineStr">
        <is>
          <t>2026-08-16</t>
        </is>
      </c>
      <c r="G64" s="6" t="inlineStr">
        <is>
          <t>Complete</t>
        </is>
      </c>
    </row>
    <row r="65">
      <c r="A65" s="6" t="inlineStr">
        <is>
          <t>MS-0064</t>
        </is>
      </c>
      <c r="B65" s="6" t="inlineStr">
        <is>
          <t>PJ-011</t>
        </is>
      </c>
      <c r="C65" s="6" t="inlineStr">
        <is>
          <t>Cabinet / Board Approval</t>
        </is>
      </c>
      <c r="D65" s="9" t="inlineStr">
        <is>
          <t>2026-09-01</t>
        </is>
      </c>
      <c r="E65" s="9" t="inlineStr">
        <is>
          <t>2026-09-17</t>
        </is>
      </c>
      <c r="F65" s="9" t="inlineStr"/>
      <c r="G65" s="6" t="inlineStr">
        <is>
          <t>Planned</t>
        </is>
      </c>
    </row>
    <row r="66">
      <c r="A66" s="6" t="inlineStr">
        <is>
          <t>MS-0065</t>
        </is>
      </c>
      <c r="B66" s="6" t="inlineStr">
        <is>
          <t>PJ-011</t>
        </is>
      </c>
      <c r="C66" s="6" t="inlineStr">
        <is>
          <t>Signature</t>
        </is>
      </c>
      <c r="D66" s="9" t="inlineStr">
        <is>
          <t>2026-09-29</t>
        </is>
      </c>
      <c r="E66" s="9" t="inlineStr">
        <is>
          <t>2026-10-06</t>
        </is>
      </c>
      <c r="F66" s="9" t="inlineStr"/>
      <c r="G66" s="6" t="inlineStr">
        <is>
          <t>Planned</t>
        </is>
      </c>
    </row>
    <row r="67">
      <c r="A67" s="6" t="inlineStr">
        <is>
          <t>MS-0066</t>
        </is>
      </c>
      <c r="B67" s="6" t="inlineStr">
        <is>
          <t>PJ-011</t>
        </is>
      </c>
      <c r="C67" s="6" t="inlineStr">
        <is>
          <t>Ratification Complete</t>
        </is>
      </c>
      <c r="D67" s="9" t="inlineStr">
        <is>
          <t>2026-10-26</t>
        </is>
      </c>
      <c r="E67" s="9" t="inlineStr">
        <is>
          <t>2026-11-12</t>
        </is>
      </c>
      <c r="F67" s="9" t="inlineStr"/>
      <c r="G67" s="6" t="inlineStr">
        <is>
          <t>Planned</t>
        </is>
      </c>
    </row>
    <row r="68">
      <c r="A68" s="6" t="inlineStr">
        <is>
          <t>MS-0067</t>
        </is>
      </c>
      <c r="B68" s="6" t="inlineStr">
        <is>
          <t>PJ-011</t>
        </is>
      </c>
      <c r="C68" s="6" t="inlineStr">
        <is>
          <t>First Delivery Received</t>
        </is>
      </c>
      <c r="D68" s="9" t="inlineStr">
        <is>
          <t>2026-11-23</t>
        </is>
      </c>
      <c r="E68" s="9" t="inlineStr">
        <is>
          <t>2026-12-06</t>
        </is>
      </c>
      <c r="F68" s="9" t="inlineStr"/>
      <c r="G68" s="6" t="inlineStr">
        <is>
          <t>Planned</t>
        </is>
      </c>
    </row>
    <row r="69">
      <c r="A69" s="6" t="inlineStr">
        <is>
          <t>MS-0068</t>
        </is>
      </c>
      <c r="B69" s="6" t="inlineStr">
        <is>
          <t>PJ-012</t>
        </is>
      </c>
      <c r="C69" s="6" t="inlineStr">
        <is>
          <t>Mandate Approved</t>
        </is>
      </c>
      <c r="D69" s="9" t="inlineStr">
        <is>
          <t>2026-03-30</t>
        </is>
      </c>
      <c r="E69" s="9" t="inlineStr">
        <is>
          <t>2026-03-26</t>
        </is>
      </c>
      <c r="F69" s="9" t="inlineStr">
        <is>
          <t>2026-03-26</t>
        </is>
      </c>
      <c r="G69" s="6" t="inlineStr">
        <is>
          <t>Complete</t>
        </is>
      </c>
    </row>
    <row r="70">
      <c r="A70" s="6" t="inlineStr">
        <is>
          <t>MS-0069</t>
        </is>
      </c>
      <c r="B70" s="6" t="inlineStr">
        <is>
          <t>PJ-012</t>
        </is>
      </c>
      <c r="C70" s="6" t="inlineStr">
        <is>
          <t>Counterpart Engagement Opened</t>
        </is>
      </c>
      <c r="D70" s="9" t="inlineStr">
        <is>
          <t>2026-05-10</t>
        </is>
      </c>
      <c r="E70" s="9" t="inlineStr">
        <is>
          <t>2026-05-26</t>
        </is>
      </c>
      <c r="F70" s="9" t="inlineStr">
        <is>
          <t>2026-05-26</t>
        </is>
      </c>
      <c r="G70" s="6" t="inlineStr">
        <is>
          <t>Complete</t>
        </is>
      </c>
    </row>
    <row r="71">
      <c r="A71" s="6" t="inlineStr">
        <is>
          <t>MS-0070</t>
        </is>
      </c>
      <c r="B71" s="6" t="inlineStr">
        <is>
          <t>PJ-012</t>
        </is>
      </c>
      <c r="C71" s="6" t="inlineStr">
        <is>
          <t>Term Sheet Agreed</t>
        </is>
      </c>
      <c r="D71" s="9" t="inlineStr">
        <is>
          <t>2026-06-20</t>
        </is>
      </c>
      <c r="E71" s="9" t="inlineStr">
        <is>
          <t>2026-06-23</t>
        </is>
      </c>
      <c r="F71" s="9" t="inlineStr">
        <is>
          <t>2026-06-23</t>
        </is>
      </c>
      <c r="G71" s="6" t="inlineStr">
        <is>
          <t>Complete</t>
        </is>
      </c>
    </row>
    <row r="72">
      <c r="A72" s="6" t="inlineStr">
        <is>
          <t>MS-0071</t>
        </is>
      </c>
      <c r="B72" s="6" t="inlineStr">
        <is>
          <t>PJ-012</t>
        </is>
      </c>
      <c r="C72" s="6" t="inlineStr">
        <is>
          <t>Legal &amp; Compliance Review</t>
        </is>
      </c>
      <c r="D72" s="9" t="inlineStr">
        <is>
          <t>2026-07-31</t>
        </is>
      </c>
      <c r="E72" s="9" t="inlineStr">
        <is>
          <t>2026-08-11</t>
        </is>
      </c>
      <c r="F72" s="9" t="inlineStr">
        <is>
          <t>2026-08-11</t>
        </is>
      </c>
      <c r="G72" s="6" t="inlineStr">
        <is>
          <t>Complete</t>
        </is>
      </c>
    </row>
    <row r="73">
      <c r="A73" s="6" t="inlineStr">
        <is>
          <t>MS-0072</t>
        </is>
      </c>
      <c r="B73" s="6" t="inlineStr">
        <is>
          <t>PJ-012</t>
        </is>
      </c>
      <c r="C73" s="6" t="inlineStr">
        <is>
          <t>Signature</t>
        </is>
      </c>
      <c r="D73" s="9" t="inlineStr">
        <is>
          <t>2026-09-10</t>
        </is>
      </c>
      <c r="E73" s="9" t="inlineStr">
        <is>
          <t>2026-09-04</t>
        </is>
      </c>
      <c r="F73" s="9" t="inlineStr"/>
      <c r="G73" s="6" t="inlineStr">
        <is>
          <t>Planned</t>
        </is>
      </c>
    </row>
    <row r="74">
      <c r="A74" s="6" t="inlineStr">
        <is>
          <t>MS-0073</t>
        </is>
      </c>
      <c r="B74" s="6" t="inlineStr">
        <is>
          <t>PJ-012</t>
        </is>
      </c>
      <c r="C74" s="6" t="inlineStr">
        <is>
          <t>Ratification Complete</t>
        </is>
      </c>
      <c r="D74" s="9" t="inlineStr">
        <is>
          <t>2026-10-21</t>
        </is>
      </c>
      <c r="E74" s="9" t="inlineStr">
        <is>
          <t>2026-10-24</t>
        </is>
      </c>
      <c r="F74" s="9" t="inlineStr"/>
      <c r="G74" s="6" t="inlineStr">
        <is>
          <t>Planned</t>
        </is>
      </c>
    </row>
    <row r="75">
      <c r="A75" s="6" t="inlineStr">
        <is>
          <t>MS-0074</t>
        </is>
      </c>
      <c r="B75" s="6" t="inlineStr">
        <is>
          <t>PJ-012</t>
        </is>
      </c>
      <c r="C75" s="6" t="inlineStr">
        <is>
          <t>First Delivery Received</t>
        </is>
      </c>
      <c r="D75" s="9" t="inlineStr">
        <is>
          <t>2026-12-01</t>
        </is>
      </c>
      <c r="E75" s="9" t="inlineStr">
        <is>
          <t>2026-12-24</t>
        </is>
      </c>
      <c r="F75" s="9" t="inlineStr"/>
      <c r="G75" s="6" t="inlineStr">
        <is>
          <t>Planned</t>
        </is>
      </c>
    </row>
    <row r="76">
      <c r="A76" s="6" t="inlineStr">
        <is>
          <t>MS-0075</t>
        </is>
      </c>
      <c r="B76" s="6" t="inlineStr">
        <is>
          <t>PJ-013</t>
        </is>
      </c>
      <c r="C76" s="6" t="inlineStr">
        <is>
          <t>Land &amp; Permits Secured</t>
        </is>
      </c>
      <c r="D76" s="9" t="inlineStr">
        <is>
          <t>2026-03-19</t>
        </is>
      </c>
      <c r="E76" s="9" t="inlineStr">
        <is>
          <t>2026-06-07</t>
        </is>
      </c>
      <c r="F76" s="9" t="inlineStr">
        <is>
          <t>2026-06-07</t>
        </is>
      </c>
      <c r="G76" s="6" t="inlineStr">
        <is>
          <t>Complete</t>
        </is>
      </c>
    </row>
    <row r="77">
      <c r="A77" s="6" t="inlineStr">
        <is>
          <t>MS-0076</t>
        </is>
      </c>
      <c r="B77" s="6" t="inlineStr">
        <is>
          <t>PJ-013</t>
        </is>
      </c>
      <c r="C77" s="6" t="inlineStr">
        <is>
          <t>Grid Connection Agreement</t>
        </is>
      </c>
      <c r="D77" s="9" t="inlineStr">
        <is>
          <t>2026-07-23</t>
        </is>
      </c>
      <c r="E77" s="9" t="inlineStr">
        <is>
          <t>2026-11-26</t>
        </is>
      </c>
      <c r="F77" s="9" t="inlineStr"/>
      <c r="G77" s="6" t="inlineStr">
        <is>
          <t>Planned</t>
        </is>
      </c>
    </row>
    <row r="78">
      <c r="A78" s="6" t="inlineStr">
        <is>
          <t>MS-0077</t>
        </is>
      </c>
      <c r="B78" s="6" t="inlineStr">
        <is>
          <t>PJ-013</t>
        </is>
      </c>
      <c r="C78" s="6" t="inlineStr">
        <is>
          <t>Design Authority Approval</t>
        </is>
      </c>
      <c r="D78" s="9" t="inlineStr">
        <is>
          <t>2026-11-26</t>
        </is>
      </c>
      <c r="E78" s="9" t="inlineStr">
        <is>
          <t>2027-02-14</t>
        </is>
      </c>
      <c r="F78" s="9" t="inlineStr"/>
      <c r="G78" s="6" t="inlineStr">
        <is>
          <t>Planned</t>
        </is>
      </c>
    </row>
    <row r="79">
      <c r="A79" s="6" t="inlineStr">
        <is>
          <t>MS-0078</t>
        </is>
      </c>
      <c r="B79" s="6" t="inlineStr">
        <is>
          <t>PJ-013</t>
        </is>
      </c>
      <c r="C79" s="6" t="inlineStr">
        <is>
          <t>Construction Start</t>
        </is>
      </c>
      <c r="D79" s="9" t="inlineStr">
        <is>
          <t>2027-04-01</t>
        </is>
      </c>
      <c r="E79" s="9" t="inlineStr">
        <is>
          <t>2027-07-05</t>
        </is>
      </c>
      <c r="F79" s="9" t="inlineStr"/>
      <c r="G79" s="6" t="inlineStr">
        <is>
          <t>Planned</t>
        </is>
      </c>
    </row>
    <row r="80">
      <c r="A80" s="6" t="inlineStr">
        <is>
          <t>MS-0079</t>
        </is>
      </c>
      <c r="B80" s="6" t="inlineStr">
        <is>
          <t>PJ-013</t>
        </is>
      </c>
      <c r="C80" s="6" t="inlineStr">
        <is>
          <t>Equipment Installation Complete</t>
        </is>
      </c>
      <c r="D80" s="9" t="inlineStr">
        <is>
          <t>2027-08-05</t>
        </is>
      </c>
      <c r="E80" s="9" t="inlineStr">
        <is>
          <t>2027-12-06</t>
        </is>
      </c>
      <c r="F80" s="9" t="inlineStr"/>
      <c r="G80" s="6" t="inlineStr">
        <is>
          <t>Planned</t>
        </is>
      </c>
    </row>
    <row r="81">
      <c r="A81" s="6" t="inlineStr">
        <is>
          <t>MS-0080</t>
        </is>
      </c>
      <c r="B81" s="6" t="inlineStr">
        <is>
          <t>PJ-013</t>
        </is>
      </c>
      <c r="C81" s="6" t="inlineStr">
        <is>
          <t>Commissioning &amp; Test</t>
        </is>
      </c>
      <c r="D81" s="9" t="inlineStr">
        <is>
          <t>2027-12-09</t>
        </is>
      </c>
      <c r="E81" s="9" t="inlineStr">
        <is>
          <t>2028-02-29</t>
        </is>
      </c>
      <c r="F81" s="9" t="inlineStr"/>
      <c r="G81" s="6" t="inlineStr">
        <is>
          <t>Planned</t>
        </is>
      </c>
    </row>
    <row r="82">
      <c r="A82" s="6" t="inlineStr">
        <is>
          <t>MS-0081</t>
        </is>
      </c>
      <c r="B82" s="6" t="inlineStr">
        <is>
          <t>PJ-014</t>
        </is>
      </c>
      <c r="C82" s="6" t="inlineStr">
        <is>
          <t>Site Selection Approved</t>
        </is>
      </c>
      <c r="D82" s="9" t="inlineStr">
        <is>
          <t>2024-02-22</t>
        </is>
      </c>
      <c r="E82" s="9" t="inlineStr">
        <is>
          <t>2024-03-08</t>
        </is>
      </c>
      <c r="F82" s="9" t="inlineStr">
        <is>
          <t>2024-03-08</t>
        </is>
      </c>
      <c r="G82" s="6" t="inlineStr">
        <is>
          <t>Complete</t>
        </is>
      </c>
    </row>
    <row r="83">
      <c r="A83" s="6" t="inlineStr">
        <is>
          <t>MS-0082</t>
        </is>
      </c>
      <c r="B83" s="6" t="inlineStr">
        <is>
          <t>PJ-014</t>
        </is>
      </c>
      <c r="C83" s="6" t="inlineStr">
        <is>
          <t>Land &amp; Permits Secured</t>
        </is>
      </c>
      <c r="D83" s="9" t="inlineStr">
        <is>
          <t>2024-07-24</t>
        </is>
      </c>
      <c r="E83" s="9" t="inlineStr">
        <is>
          <t>2024-09-08</t>
        </is>
      </c>
      <c r="F83" s="9" t="inlineStr">
        <is>
          <t>2024-09-08</t>
        </is>
      </c>
      <c r="G83" s="6" t="inlineStr">
        <is>
          <t>Complete</t>
        </is>
      </c>
    </row>
    <row r="84">
      <c r="A84" s="6" t="inlineStr">
        <is>
          <t>MS-0083</t>
        </is>
      </c>
      <c r="B84" s="6" t="inlineStr">
        <is>
          <t>PJ-014</t>
        </is>
      </c>
      <c r="C84" s="6" t="inlineStr">
        <is>
          <t>Grid Connection Agreement</t>
        </is>
      </c>
      <c r="D84" s="9" t="inlineStr">
        <is>
          <t>2024-12-24</t>
        </is>
      </c>
      <c r="E84" s="9" t="inlineStr">
        <is>
          <t>2025-02-12</t>
        </is>
      </c>
      <c r="F84" s="9" t="inlineStr">
        <is>
          <t>2025-02-12</t>
        </is>
      </c>
      <c r="G84" s="6" t="inlineStr">
        <is>
          <t>Complete</t>
        </is>
      </c>
    </row>
    <row r="85">
      <c r="A85" s="6" t="inlineStr">
        <is>
          <t>MS-0084</t>
        </is>
      </c>
      <c r="B85" s="6" t="inlineStr">
        <is>
          <t>PJ-014</t>
        </is>
      </c>
      <c r="C85" s="6" t="inlineStr">
        <is>
          <t>Power Energisation</t>
        </is>
      </c>
      <c r="D85" s="9" t="inlineStr">
        <is>
          <t>2025-05-26</t>
        </is>
      </c>
      <c r="E85" s="9" t="inlineStr">
        <is>
          <t>2025-07-09</t>
        </is>
      </c>
      <c r="F85" s="9" t="inlineStr">
        <is>
          <t>2025-07-09</t>
        </is>
      </c>
      <c r="G85" s="6" t="inlineStr">
        <is>
          <t>Complete</t>
        </is>
      </c>
    </row>
    <row r="86">
      <c r="A86" s="6" t="inlineStr">
        <is>
          <t>MS-0085</t>
        </is>
      </c>
      <c r="B86" s="6" t="inlineStr">
        <is>
          <t>PJ-014</t>
        </is>
      </c>
      <c r="C86" s="6" t="inlineStr">
        <is>
          <t>Equipment Installation Complete</t>
        </is>
      </c>
      <c r="D86" s="9" t="inlineStr">
        <is>
          <t>2025-10-26</t>
        </is>
      </c>
      <c r="E86" s="9" t="inlineStr">
        <is>
          <t>2026-02-06</t>
        </is>
      </c>
      <c r="F86" s="9" t="inlineStr">
        <is>
          <t>2026-02-06</t>
        </is>
      </c>
      <c r="G86" s="6" t="inlineStr">
        <is>
          <t>Complete</t>
        </is>
      </c>
    </row>
    <row r="87">
      <c r="A87" s="6" t="inlineStr">
        <is>
          <t>MS-0086</t>
        </is>
      </c>
      <c r="B87" s="6" t="inlineStr">
        <is>
          <t>PJ-014</t>
        </is>
      </c>
      <c r="C87" s="6" t="inlineStr">
        <is>
          <t>Commissioning &amp; Test</t>
        </is>
      </c>
      <c r="D87" s="9" t="inlineStr">
        <is>
          <t>2026-03-28</t>
        </is>
      </c>
      <c r="E87" s="9" t="inlineStr">
        <is>
          <t>2026-05-17</t>
        </is>
      </c>
      <c r="F87" s="9" t="inlineStr">
        <is>
          <t>2026-05-17</t>
        </is>
      </c>
      <c r="G87" s="6" t="inlineStr">
        <is>
          <t>Complete</t>
        </is>
      </c>
    </row>
    <row r="88">
      <c r="A88" s="6" t="inlineStr">
        <is>
          <t>MS-0087</t>
        </is>
      </c>
      <c r="B88" s="6" t="inlineStr">
        <is>
          <t>PJ-014</t>
        </is>
      </c>
      <c r="C88" s="6" t="inlineStr">
        <is>
          <t>Operational Handover</t>
        </is>
      </c>
      <c r="D88" s="9" t="inlineStr">
        <is>
          <t>2026-08-28</t>
        </is>
      </c>
      <c r="E88" s="9" t="inlineStr">
        <is>
          <t>2026-11-27</t>
        </is>
      </c>
      <c r="F88" s="9" t="inlineStr"/>
      <c r="G88" s="6" t="inlineStr">
        <is>
          <t>Planned</t>
        </is>
      </c>
    </row>
    <row r="89">
      <c r="A89" s="6" t="inlineStr">
        <is>
          <t>MS-0088</t>
        </is>
      </c>
      <c r="B89" s="6" t="inlineStr">
        <is>
          <t>PJ-015</t>
        </is>
      </c>
      <c r="C89" s="6" t="inlineStr">
        <is>
          <t>Grid Connection Agreement</t>
        </is>
      </c>
      <c r="D89" s="9" t="inlineStr">
        <is>
          <t>2026-07-23</t>
        </is>
      </c>
      <c r="E89" s="9" t="inlineStr">
        <is>
          <t>2026-08-09</t>
        </is>
      </c>
      <c r="F89" s="9" t="inlineStr"/>
      <c r="G89" s="6" t="inlineStr">
        <is>
          <t>Overdue</t>
        </is>
      </c>
    </row>
    <row r="90">
      <c r="A90" s="6" t="inlineStr">
        <is>
          <t>MS-0089</t>
        </is>
      </c>
      <c r="B90" s="6" t="inlineStr">
        <is>
          <t>PJ-015</t>
        </is>
      </c>
      <c r="C90" s="6" t="inlineStr">
        <is>
          <t>Design Authority Approval</t>
        </is>
      </c>
      <c r="D90" s="9" t="inlineStr">
        <is>
          <t>2027-01-30</t>
        </is>
      </c>
      <c r="E90" s="9" t="inlineStr">
        <is>
          <t>2027-02-14</t>
        </is>
      </c>
      <c r="F90" s="9" t="inlineStr"/>
      <c r="G90" s="6" t="inlineStr">
        <is>
          <t>Planned</t>
        </is>
      </c>
    </row>
    <row r="91">
      <c r="A91" s="6" t="inlineStr">
        <is>
          <t>MS-0090</t>
        </is>
      </c>
      <c r="B91" s="6" t="inlineStr">
        <is>
          <t>PJ-015</t>
        </is>
      </c>
      <c r="C91" s="6" t="inlineStr">
        <is>
          <t>Construction Start</t>
        </is>
      </c>
      <c r="D91" s="9" t="inlineStr">
        <is>
          <t>2027-08-10</t>
        </is>
      </c>
      <c r="E91" s="9" t="inlineStr">
        <is>
          <t>2027-08-22</t>
        </is>
      </c>
      <c r="F91" s="9" t="inlineStr"/>
      <c r="G91" s="6" t="inlineStr">
        <is>
          <t>Planned</t>
        </is>
      </c>
    </row>
    <row r="92">
      <c r="A92" s="6" t="inlineStr">
        <is>
          <t>MS-0091</t>
        </is>
      </c>
      <c r="B92" s="6" t="inlineStr">
        <is>
          <t>PJ-015</t>
        </is>
      </c>
      <c r="C92" s="6" t="inlineStr">
        <is>
          <t>Equipment Installation Complete</t>
        </is>
      </c>
      <c r="D92" s="9" t="inlineStr">
        <is>
          <t>2028-02-17</t>
        </is>
      </c>
      <c r="E92" s="9" t="inlineStr">
        <is>
          <t>2028-02-14</t>
        </is>
      </c>
      <c r="F92" s="9" t="inlineStr"/>
      <c r="G92" s="6" t="inlineStr">
        <is>
          <t>Planned</t>
        </is>
      </c>
    </row>
    <row r="93">
      <c r="A93" s="6" t="inlineStr">
        <is>
          <t>MS-0092</t>
        </is>
      </c>
      <c r="B93" s="6" t="inlineStr">
        <is>
          <t>PJ-015</t>
        </is>
      </c>
      <c r="C93" s="6" t="inlineStr">
        <is>
          <t>Commissioning &amp; Test</t>
        </is>
      </c>
      <c r="D93" s="9" t="inlineStr">
        <is>
          <t>2028-08-26</t>
        </is>
      </c>
      <c r="E93" s="9" t="inlineStr">
        <is>
          <t>2028-09-10</t>
        </is>
      </c>
      <c r="F93" s="9" t="inlineStr"/>
      <c r="G93" s="6" t="inlineStr">
        <is>
          <t>Planned</t>
        </is>
      </c>
    </row>
    <row r="94">
      <c r="A94" s="6" t="inlineStr">
        <is>
          <t>MS-0093</t>
        </is>
      </c>
      <c r="B94" s="6" t="inlineStr">
        <is>
          <t>PJ-016</t>
        </is>
      </c>
      <c r="C94" s="6" t="inlineStr">
        <is>
          <t>Site Selection Approved</t>
        </is>
      </c>
      <c r="D94" s="9" t="inlineStr">
        <is>
          <t>2024-01-10</t>
        </is>
      </c>
      <c r="E94" s="9" t="inlineStr">
        <is>
          <t>2024-01-23</t>
        </is>
      </c>
      <c r="F94" s="9" t="inlineStr">
        <is>
          <t>2024-01-23</t>
        </is>
      </c>
      <c r="G94" s="6" t="inlineStr">
        <is>
          <t>Complete</t>
        </is>
      </c>
    </row>
    <row r="95">
      <c r="A95" s="6" t="inlineStr">
        <is>
          <t>MS-0094</t>
        </is>
      </c>
      <c r="B95" s="6" t="inlineStr">
        <is>
          <t>PJ-016</t>
        </is>
      </c>
      <c r="C95" s="6" t="inlineStr">
        <is>
          <t>Land &amp; Permits Secured</t>
        </is>
      </c>
      <c r="D95" s="9" t="inlineStr">
        <is>
          <t>2024-06-28</t>
        </is>
      </c>
      <c r="E95" s="9" t="inlineStr">
        <is>
          <t>2024-06-30</t>
        </is>
      </c>
      <c r="F95" s="9" t="inlineStr">
        <is>
          <t>2024-06-30</t>
        </is>
      </c>
      <c r="G95" s="6" t="inlineStr">
        <is>
          <t>Complete</t>
        </is>
      </c>
    </row>
    <row r="96">
      <c r="A96" s="6" t="inlineStr">
        <is>
          <t>MS-0095</t>
        </is>
      </c>
      <c r="B96" s="6" t="inlineStr">
        <is>
          <t>PJ-016</t>
        </is>
      </c>
      <c r="C96" s="6" t="inlineStr">
        <is>
          <t>Grid Connection Agreement</t>
        </is>
      </c>
      <c r="D96" s="9" t="inlineStr">
        <is>
          <t>2024-12-15</t>
        </is>
      </c>
      <c r="E96" s="9" t="inlineStr">
        <is>
          <t>2024-12-15</t>
        </is>
      </c>
      <c r="F96" s="9" t="inlineStr">
        <is>
          <t>2024-12-15</t>
        </is>
      </c>
      <c r="G96" s="6" t="inlineStr">
        <is>
          <t>Complete</t>
        </is>
      </c>
    </row>
    <row r="97">
      <c r="A97" s="6" t="inlineStr">
        <is>
          <t>MS-0096</t>
        </is>
      </c>
      <c r="B97" s="6" t="inlineStr">
        <is>
          <t>PJ-016</t>
        </is>
      </c>
      <c r="C97" s="6" t="inlineStr">
        <is>
          <t>Construction Start</t>
        </is>
      </c>
      <c r="D97" s="9" t="inlineStr">
        <is>
          <t>2025-06-03</t>
        </is>
      </c>
      <c r="E97" s="9" t="inlineStr">
        <is>
          <t>2025-06-14</t>
        </is>
      </c>
      <c r="F97" s="9" t="inlineStr">
        <is>
          <t>2025-06-14</t>
        </is>
      </c>
      <c r="G97" s="6" t="inlineStr">
        <is>
          <t>Complete</t>
        </is>
      </c>
    </row>
    <row r="98">
      <c r="A98" s="6" t="inlineStr">
        <is>
          <t>MS-0097</t>
        </is>
      </c>
      <c r="B98" s="6" t="inlineStr">
        <is>
          <t>PJ-016</t>
        </is>
      </c>
      <c r="C98" s="6" t="inlineStr">
        <is>
          <t>Power Energisation</t>
        </is>
      </c>
      <c r="D98" s="9" t="inlineStr">
        <is>
          <t>2025-11-20</t>
        </is>
      </c>
      <c r="E98" s="9" t="inlineStr">
        <is>
          <t>2025-11-23</t>
        </is>
      </c>
      <c r="F98" s="9" t="inlineStr">
        <is>
          <t>2025-11-23</t>
        </is>
      </c>
      <c r="G98" s="6" t="inlineStr">
        <is>
          <t>Complete</t>
        </is>
      </c>
    </row>
    <row r="99">
      <c r="A99" s="6" t="inlineStr">
        <is>
          <t>MS-0098</t>
        </is>
      </c>
      <c r="B99" s="6" t="inlineStr">
        <is>
          <t>PJ-016</t>
        </is>
      </c>
      <c r="C99" s="6" t="inlineStr">
        <is>
          <t>Operational Handover</t>
        </is>
      </c>
      <c r="D99" s="9" t="inlineStr">
        <is>
          <t>2026-05-09</t>
        </is>
      </c>
      <c r="E99" s="9" t="inlineStr">
        <is>
          <t>2026-05-10</t>
        </is>
      </c>
      <c r="F99" s="9" t="inlineStr">
        <is>
          <t>2026-05-10</t>
        </is>
      </c>
      <c r="G99" s="6" t="inlineStr">
        <is>
          <t>Complete</t>
        </is>
      </c>
    </row>
    <row r="100">
      <c r="A100" s="6" t="inlineStr">
        <is>
          <t>MS-0099</t>
        </is>
      </c>
      <c r="B100" s="6" t="inlineStr">
        <is>
          <t>PJ-017</t>
        </is>
      </c>
      <c r="C100" s="6" t="inlineStr">
        <is>
          <t>Site Selection Approved</t>
        </is>
      </c>
      <c r="D100" s="9" t="inlineStr">
        <is>
          <t>2024-08-01</t>
        </is>
      </c>
      <c r="E100" s="9" t="inlineStr">
        <is>
          <t>2024-08-02</t>
        </is>
      </c>
      <c r="F100" s="9" t="inlineStr">
        <is>
          <t>2024-08-02</t>
        </is>
      </c>
      <c r="G100" s="6" t="inlineStr">
        <is>
          <t>Complete</t>
        </is>
      </c>
    </row>
    <row r="101">
      <c r="A101" s="6" t="inlineStr">
        <is>
          <t>MS-0100</t>
        </is>
      </c>
      <c r="B101" s="6" t="inlineStr">
        <is>
          <t>PJ-017</t>
        </is>
      </c>
      <c r="C101" s="6" t="inlineStr">
        <is>
          <t>Grid Connection Agreement</t>
        </is>
      </c>
      <c r="D101" s="9" t="inlineStr">
        <is>
          <t>2024-12-09</t>
        </is>
      </c>
      <c r="E101" s="9" t="inlineStr">
        <is>
          <t>2024-12-11</t>
        </is>
      </c>
      <c r="F101" s="9" t="inlineStr">
        <is>
          <t>2024-12-11</t>
        </is>
      </c>
      <c r="G101" s="6" t="inlineStr">
        <is>
          <t>Complete</t>
        </is>
      </c>
    </row>
    <row r="102">
      <c r="A102" s="6" t="inlineStr">
        <is>
          <t>MS-0101</t>
        </is>
      </c>
      <c r="B102" s="6" t="inlineStr">
        <is>
          <t>PJ-017</t>
        </is>
      </c>
      <c r="C102" s="6" t="inlineStr">
        <is>
          <t>Design Authority Approval</t>
        </is>
      </c>
      <c r="D102" s="9" t="inlineStr">
        <is>
          <t>2025-04-17</t>
        </is>
      </c>
      <c r="E102" s="9" t="inlineStr">
        <is>
          <t>2025-04-19</t>
        </is>
      </c>
      <c r="F102" s="9" t="inlineStr">
        <is>
          <t>2025-04-19</t>
        </is>
      </c>
      <c r="G102" s="6" t="inlineStr">
        <is>
          <t>Complete</t>
        </is>
      </c>
    </row>
    <row r="103">
      <c r="A103" s="6" t="inlineStr">
        <is>
          <t>MS-0102</t>
        </is>
      </c>
      <c r="B103" s="6" t="inlineStr">
        <is>
          <t>PJ-017</t>
        </is>
      </c>
      <c r="C103" s="6" t="inlineStr">
        <is>
          <t>Power Energisation</t>
        </is>
      </c>
      <c r="D103" s="9" t="inlineStr">
        <is>
          <t>2025-08-25</t>
        </is>
      </c>
      <c r="E103" s="9" t="inlineStr">
        <is>
          <t>2025-08-21</t>
        </is>
      </c>
      <c r="F103" s="9" t="inlineStr">
        <is>
          <t>2025-08-21</t>
        </is>
      </c>
      <c r="G103" s="6" t="inlineStr">
        <is>
          <t>Complete</t>
        </is>
      </c>
    </row>
    <row r="104">
      <c r="A104" s="6" t="inlineStr">
        <is>
          <t>MS-0103</t>
        </is>
      </c>
      <c r="B104" s="6" t="inlineStr">
        <is>
          <t>PJ-017</t>
        </is>
      </c>
      <c r="C104" s="6" t="inlineStr">
        <is>
          <t>Equipment Installation Complete</t>
        </is>
      </c>
      <c r="D104" s="9" t="inlineStr">
        <is>
          <t>2026-01-02</t>
        </is>
      </c>
      <c r="E104" s="9" t="inlineStr">
        <is>
          <t>2026-01-12</t>
        </is>
      </c>
      <c r="F104" s="9" t="inlineStr">
        <is>
          <t>2026-01-12</t>
        </is>
      </c>
      <c r="G104" s="6" t="inlineStr">
        <is>
          <t>Complete</t>
        </is>
      </c>
    </row>
    <row r="105">
      <c r="A105" s="6" t="inlineStr">
        <is>
          <t>MS-0104</t>
        </is>
      </c>
      <c r="B105" s="6" t="inlineStr">
        <is>
          <t>PJ-017</t>
        </is>
      </c>
      <c r="C105" s="6" t="inlineStr">
        <is>
          <t>Commissioning &amp; Test</t>
        </is>
      </c>
      <c r="D105" s="9" t="inlineStr">
        <is>
          <t>2026-05-11</t>
        </is>
      </c>
      <c r="E105" s="9" t="inlineStr">
        <is>
          <t>2026-05-19</t>
        </is>
      </c>
      <c r="F105" s="9" t="inlineStr">
        <is>
          <t>2026-05-19</t>
        </is>
      </c>
      <c r="G105" s="6" t="inlineStr">
        <is>
          <t>Complete</t>
        </is>
      </c>
    </row>
    <row r="106">
      <c r="A106" s="6" t="inlineStr">
        <is>
          <t>MS-0105</t>
        </is>
      </c>
      <c r="B106" s="6" t="inlineStr">
        <is>
          <t>PJ-017</t>
        </is>
      </c>
      <c r="C106" s="6" t="inlineStr">
        <is>
          <t>Operational Handover</t>
        </is>
      </c>
      <c r="D106" s="9" t="inlineStr">
        <is>
          <t>2026-09-18</t>
        </is>
      </c>
      <c r="E106" s="9" t="inlineStr">
        <is>
          <t>2026-09-16</t>
        </is>
      </c>
      <c r="F106" s="9" t="inlineStr"/>
      <c r="G106" s="6" t="inlineStr">
        <is>
          <t>Planned</t>
        </is>
      </c>
    </row>
    <row r="107">
      <c r="A107" s="6" t="inlineStr">
        <is>
          <t>MS-0106</t>
        </is>
      </c>
      <c r="B107" s="6" t="inlineStr">
        <is>
          <t>PJ-018</t>
        </is>
      </c>
      <c r="C107" s="6" t="inlineStr">
        <is>
          <t>Site Selection Approved</t>
        </is>
      </c>
      <c r="D107" s="9" t="inlineStr">
        <is>
          <t>2026-06-22</t>
        </is>
      </c>
      <c r="E107" s="9" t="inlineStr">
        <is>
          <t>2026-07-02</t>
        </is>
      </c>
      <c r="F107" s="9" t="inlineStr">
        <is>
          <t>2026-07-02</t>
        </is>
      </c>
      <c r="G107" s="6" t="inlineStr">
        <is>
          <t>Complete</t>
        </is>
      </c>
    </row>
    <row r="108">
      <c r="A108" s="6" t="inlineStr">
        <is>
          <t>MS-0107</t>
        </is>
      </c>
      <c r="B108" s="6" t="inlineStr">
        <is>
          <t>PJ-018</t>
        </is>
      </c>
      <c r="C108" s="6" t="inlineStr">
        <is>
          <t>Land &amp; Permits Secured</t>
        </is>
      </c>
      <c r="D108" s="9" t="inlineStr">
        <is>
          <t>2026-11-01</t>
        </is>
      </c>
      <c r="E108" s="9" t="inlineStr">
        <is>
          <t>2026-11-12</t>
        </is>
      </c>
      <c r="F108" s="9" t="inlineStr"/>
      <c r="G108" s="6" t="inlineStr">
        <is>
          <t>Planned</t>
        </is>
      </c>
    </row>
    <row r="109">
      <c r="A109" s="6" t="inlineStr">
        <is>
          <t>MS-0108</t>
        </is>
      </c>
      <c r="B109" s="6" t="inlineStr">
        <is>
          <t>PJ-018</t>
        </is>
      </c>
      <c r="C109" s="6" t="inlineStr">
        <is>
          <t>Grid Connection Agreement</t>
        </is>
      </c>
      <c r="D109" s="9" t="inlineStr">
        <is>
          <t>2027-03-14</t>
        </is>
      </c>
      <c r="E109" s="9" t="inlineStr">
        <is>
          <t>2027-03-25</t>
        </is>
      </c>
      <c r="F109" s="9" t="inlineStr"/>
      <c r="G109" s="6" t="inlineStr">
        <is>
          <t>Planned</t>
        </is>
      </c>
    </row>
    <row r="110">
      <c r="A110" s="6" t="inlineStr">
        <is>
          <t>MS-0109</t>
        </is>
      </c>
      <c r="B110" s="6" t="inlineStr">
        <is>
          <t>PJ-018</t>
        </is>
      </c>
      <c r="C110" s="6" t="inlineStr">
        <is>
          <t>Power Energisation</t>
        </is>
      </c>
      <c r="D110" s="9" t="inlineStr">
        <is>
          <t>2027-07-24</t>
        </is>
      </c>
      <c r="E110" s="9" t="inlineStr">
        <is>
          <t>2027-07-24</t>
        </is>
      </c>
      <c r="F110" s="9" t="inlineStr"/>
      <c r="G110" s="6" t="inlineStr">
        <is>
          <t>Planned</t>
        </is>
      </c>
    </row>
    <row r="111">
      <c r="A111" s="6" t="inlineStr">
        <is>
          <t>MS-0110</t>
        </is>
      </c>
      <c r="B111" s="6" t="inlineStr">
        <is>
          <t>PJ-018</t>
        </is>
      </c>
      <c r="C111" s="6" t="inlineStr">
        <is>
          <t>Equipment Installation Complete</t>
        </is>
      </c>
      <c r="D111" s="9" t="inlineStr">
        <is>
          <t>2027-12-03</t>
        </is>
      </c>
      <c r="E111" s="9" t="inlineStr">
        <is>
          <t>2027-11-28</t>
        </is>
      </c>
      <c r="F111" s="9" t="inlineStr"/>
      <c r="G111" s="6" t="inlineStr">
        <is>
          <t>Planned</t>
        </is>
      </c>
    </row>
    <row r="112">
      <c r="A112" s="6" t="inlineStr">
        <is>
          <t>MS-0111</t>
        </is>
      </c>
      <c r="B112" s="6" t="inlineStr">
        <is>
          <t>PJ-019</t>
        </is>
      </c>
      <c r="C112" s="6" t="inlineStr">
        <is>
          <t>Architecture Baselined</t>
        </is>
      </c>
      <c r="D112" s="9" t="inlineStr">
        <is>
          <t>2024-12-24</t>
        </is>
      </c>
      <c r="E112" s="9" t="inlineStr">
        <is>
          <t>2024-12-25</t>
        </is>
      </c>
      <c r="F112" s="9" t="inlineStr">
        <is>
          <t>2024-12-25</t>
        </is>
      </c>
      <c r="G112" s="6" t="inlineStr">
        <is>
          <t>Complete</t>
        </is>
      </c>
    </row>
    <row r="113">
      <c r="A113" s="6" t="inlineStr">
        <is>
          <t>MS-0112</t>
        </is>
      </c>
      <c r="B113" s="6" t="inlineStr">
        <is>
          <t>PJ-019</t>
        </is>
      </c>
      <c r="C113" s="6" t="inlineStr">
        <is>
          <t>Data Access Agreed</t>
        </is>
      </c>
      <c r="D113" s="9" t="inlineStr">
        <is>
          <t>2025-03-15</t>
        </is>
      </c>
      <c r="E113" s="9" t="inlineStr">
        <is>
          <t>2025-03-16</t>
        </is>
      </c>
      <c r="F113" s="9" t="inlineStr">
        <is>
          <t>2025-03-16</t>
        </is>
      </c>
      <c r="G113" s="6" t="inlineStr">
        <is>
          <t>Complete</t>
        </is>
      </c>
    </row>
    <row r="114">
      <c r="A114" s="6" t="inlineStr">
        <is>
          <t>MS-0113</t>
        </is>
      </c>
      <c r="B114" s="6" t="inlineStr">
        <is>
          <t>PJ-019</t>
        </is>
      </c>
      <c r="C114" s="6" t="inlineStr">
        <is>
          <t>Build Complete</t>
        </is>
      </c>
      <c r="D114" s="9" t="inlineStr">
        <is>
          <t>2025-06-04</t>
        </is>
      </c>
      <c r="E114" s="9" t="inlineStr">
        <is>
          <t>2025-06-06</t>
        </is>
      </c>
      <c r="F114" s="9" t="inlineStr"/>
      <c r="G114" s="6" t="inlineStr">
        <is>
          <t>Overdue</t>
        </is>
      </c>
    </row>
    <row r="115">
      <c r="A115" s="6" t="inlineStr">
        <is>
          <t>MS-0114</t>
        </is>
      </c>
      <c r="B115" s="6" t="inlineStr">
        <is>
          <t>PJ-019</t>
        </is>
      </c>
      <c r="C115" s="6" t="inlineStr">
        <is>
          <t>Security Accreditation</t>
        </is>
      </c>
      <c r="D115" s="9" t="inlineStr">
        <is>
          <t>2025-08-24</t>
        </is>
      </c>
      <c r="E115" s="9" t="inlineStr">
        <is>
          <t>2025-08-31</t>
        </is>
      </c>
      <c r="F115" s="9" t="inlineStr">
        <is>
          <t>2025-08-31</t>
        </is>
      </c>
      <c r="G115" s="6" t="inlineStr">
        <is>
          <t>Complete</t>
        </is>
      </c>
    </row>
    <row r="116">
      <c r="A116" s="6" t="inlineStr">
        <is>
          <t>MS-0115</t>
        </is>
      </c>
      <c r="B116" s="6" t="inlineStr">
        <is>
          <t>PJ-019</t>
        </is>
      </c>
      <c r="C116" s="6" t="inlineStr">
        <is>
          <t>Evaluation &amp; Red-Team Passed</t>
        </is>
      </c>
      <c r="D116" s="9" t="inlineStr">
        <is>
          <t>2025-11-12</t>
        </is>
      </c>
      <c r="E116" s="9" t="inlineStr">
        <is>
          <t>2025-11-22</t>
        </is>
      </c>
      <c r="F116" s="9" t="inlineStr">
        <is>
          <t>2025-11-22</t>
        </is>
      </c>
      <c r="G116" s="6" t="inlineStr">
        <is>
          <t>Complete</t>
        </is>
      </c>
    </row>
    <row r="117">
      <c r="A117" s="6" t="inlineStr">
        <is>
          <t>MS-0116</t>
        </is>
      </c>
      <c r="B117" s="6" t="inlineStr">
        <is>
          <t>PJ-019</t>
        </is>
      </c>
      <c r="C117" s="6" t="inlineStr">
        <is>
          <t>Production Go-Live</t>
        </is>
      </c>
      <c r="D117" s="9" t="inlineStr">
        <is>
          <t>2026-02-01</t>
        </is>
      </c>
      <c r="E117" s="9" t="inlineStr">
        <is>
          <t>2026-02-08</t>
        </is>
      </c>
      <c r="F117" s="9" t="inlineStr"/>
      <c r="G117" s="6" t="inlineStr">
        <is>
          <t>Overdue</t>
        </is>
      </c>
    </row>
    <row r="118">
      <c r="A118" s="6" t="inlineStr">
        <is>
          <t>MS-0117</t>
        </is>
      </c>
      <c r="B118" s="6" t="inlineStr">
        <is>
          <t>PJ-019</t>
        </is>
      </c>
      <c r="C118" s="6" t="inlineStr">
        <is>
          <t>Benefits Review</t>
        </is>
      </c>
      <c r="D118" s="9" t="inlineStr">
        <is>
          <t>2026-04-23</t>
        </is>
      </c>
      <c r="E118" s="9" t="inlineStr">
        <is>
          <t>2026-04-26</t>
        </is>
      </c>
      <c r="F118" s="9" t="inlineStr">
        <is>
          <t>2026-04-26</t>
        </is>
      </c>
      <c r="G118" s="6" t="inlineStr">
        <is>
          <t>Complete</t>
        </is>
      </c>
    </row>
    <row r="119">
      <c r="A119" s="6" t="inlineStr">
        <is>
          <t>MS-0118</t>
        </is>
      </c>
      <c r="B119" s="6" t="inlineStr">
        <is>
          <t>PJ-020</t>
        </is>
      </c>
      <c r="C119" s="6" t="inlineStr">
        <is>
          <t>Data Access Agreed</t>
        </is>
      </c>
      <c r="D119" s="9" t="inlineStr">
        <is>
          <t>2026-12-05</t>
        </is>
      </c>
      <c r="E119" s="9" t="inlineStr">
        <is>
          <t>2026-12-09</t>
        </is>
      </c>
      <c r="F119" s="9" t="inlineStr"/>
      <c r="G119" s="6" t="inlineStr">
        <is>
          <t>Planned</t>
        </is>
      </c>
    </row>
    <row r="120">
      <c r="A120" s="6" t="inlineStr">
        <is>
          <t>MS-0119</t>
        </is>
      </c>
      <c r="B120" s="6" t="inlineStr">
        <is>
          <t>PJ-020</t>
        </is>
      </c>
      <c r="C120" s="6" t="inlineStr">
        <is>
          <t>Environment Provisioned</t>
        </is>
      </c>
      <c r="D120" s="9" t="inlineStr">
        <is>
          <t>2027-06-02</t>
        </is>
      </c>
      <c r="E120" s="9" t="inlineStr">
        <is>
          <t>2027-05-30</t>
        </is>
      </c>
      <c r="F120" s="9" t="inlineStr"/>
      <c r="G120" s="6" t="inlineStr">
        <is>
          <t>Planned</t>
        </is>
      </c>
    </row>
    <row r="121">
      <c r="A121" s="6" t="inlineStr">
        <is>
          <t>MS-0120</t>
        </is>
      </c>
      <c r="B121" s="6" t="inlineStr">
        <is>
          <t>PJ-020</t>
        </is>
      </c>
      <c r="C121" s="6" t="inlineStr">
        <is>
          <t>Production Go-Live</t>
        </is>
      </c>
      <c r="D121" s="9" t="inlineStr">
        <is>
          <t>2027-11-27</t>
        </is>
      </c>
      <c r="E121" s="9" t="inlineStr">
        <is>
          <t>2027-11-23</t>
        </is>
      </c>
      <c r="F121" s="9" t="inlineStr"/>
      <c r="G121" s="6" t="inlineStr">
        <is>
          <t>Planned</t>
        </is>
      </c>
    </row>
    <row r="122">
      <c r="A122" s="6" t="inlineStr">
        <is>
          <t>MS-0121</t>
        </is>
      </c>
      <c r="B122" s="6" t="inlineStr">
        <is>
          <t>PJ-020</t>
        </is>
      </c>
      <c r="C122" s="6" t="inlineStr">
        <is>
          <t>Benefits Review</t>
        </is>
      </c>
      <c r="D122" s="9" t="inlineStr">
        <is>
          <t>2028-05-24</t>
        </is>
      </c>
      <c r="E122" s="9" t="inlineStr">
        <is>
          <t>2028-05-28</t>
        </is>
      </c>
      <c r="F122" s="9" t="inlineStr"/>
      <c r="G122" s="6" t="inlineStr">
        <is>
          <t>Planned</t>
        </is>
      </c>
    </row>
    <row r="123">
      <c r="A123" s="6" t="inlineStr">
        <is>
          <t>MS-0122</t>
        </is>
      </c>
      <c r="B123" s="6" t="inlineStr">
        <is>
          <t>PJ-021</t>
        </is>
      </c>
      <c r="C123" s="6" t="inlineStr">
        <is>
          <t>Business Case Approved</t>
        </is>
      </c>
      <c r="D123" s="9" t="inlineStr">
        <is>
          <t>2025-09-20</t>
        </is>
      </c>
      <c r="E123" s="9" t="inlineStr">
        <is>
          <t>2025-10-05</t>
        </is>
      </c>
      <c r="F123" s="9" t="inlineStr">
        <is>
          <t>2025-10-05</t>
        </is>
      </c>
      <c r="G123" s="6" t="inlineStr">
        <is>
          <t>Complete</t>
        </is>
      </c>
    </row>
    <row r="124">
      <c r="A124" s="6" t="inlineStr">
        <is>
          <t>MS-0123</t>
        </is>
      </c>
      <c r="B124" s="6" t="inlineStr">
        <is>
          <t>PJ-021</t>
        </is>
      </c>
      <c r="C124" s="6" t="inlineStr">
        <is>
          <t>Model Development Complete</t>
        </is>
      </c>
      <c r="D124" s="9" t="inlineStr">
        <is>
          <t>2025-12-01</t>
        </is>
      </c>
      <c r="E124" s="9" t="inlineStr">
        <is>
          <t>2025-12-13</t>
        </is>
      </c>
      <c r="F124" s="9" t="inlineStr">
        <is>
          <t>2025-12-13</t>
        </is>
      </c>
      <c r="G124" s="6" t="inlineStr">
        <is>
          <t>Complete</t>
        </is>
      </c>
    </row>
    <row r="125">
      <c r="A125" s="6" t="inlineStr">
        <is>
          <t>MS-0124</t>
        </is>
      </c>
      <c r="B125" s="6" t="inlineStr">
        <is>
          <t>PJ-021</t>
        </is>
      </c>
      <c r="C125" s="6" t="inlineStr">
        <is>
          <t>Pilot Live</t>
        </is>
      </c>
      <c r="D125" s="9" t="inlineStr">
        <is>
          <t>2026-02-11</t>
        </is>
      </c>
      <c r="E125" s="9" t="inlineStr">
        <is>
          <t>2026-02-27</t>
        </is>
      </c>
      <c r="F125" s="9" t="inlineStr">
        <is>
          <t>2026-02-27</t>
        </is>
      </c>
      <c r="G125" s="6" t="inlineStr">
        <is>
          <t>Complete</t>
        </is>
      </c>
    </row>
    <row r="126">
      <c r="A126" s="6" t="inlineStr">
        <is>
          <t>MS-0125</t>
        </is>
      </c>
      <c r="B126" s="6" t="inlineStr">
        <is>
          <t>PJ-021</t>
        </is>
      </c>
      <c r="C126" s="6" t="inlineStr">
        <is>
          <t>Change &amp; Training Complete</t>
        </is>
      </c>
      <c r="D126" s="9" t="inlineStr">
        <is>
          <t>2026-04-24</t>
        </is>
      </c>
      <c r="E126" s="9" t="inlineStr">
        <is>
          <t>2026-04-30</t>
        </is>
      </c>
      <c r="F126" s="9" t="inlineStr"/>
      <c r="G126" s="6" t="inlineStr">
        <is>
          <t>Overdue</t>
        </is>
      </c>
    </row>
    <row r="127">
      <c r="A127" s="6" t="inlineStr">
        <is>
          <t>MS-0126</t>
        </is>
      </c>
      <c r="B127" s="6" t="inlineStr">
        <is>
          <t>PJ-022</t>
        </is>
      </c>
      <c r="C127" s="6" t="inlineStr">
        <is>
          <t>Business Case Approved</t>
        </is>
      </c>
      <c r="D127" s="9" t="inlineStr">
        <is>
          <t>2026-07-09</t>
        </is>
      </c>
      <c r="E127" s="9" t="inlineStr">
        <is>
          <t>2026-07-19</t>
        </is>
      </c>
      <c r="F127" s="9" t="inlineStr">
        <is>
          <t>2026-07-19</t>
        </is>
      </c>
      <c r="G127" s="6" t="inlineStr">
        <is>
          <t>Complete</t>
        </is>
      </c>
    </row>
    <row r="128">
      <c r="A128" s="6" t="inlineStr">
        <is>
          <t>MS-0127</t>
        </is>
      </c>
      <c r="B128" s="6" t="inlineStr">
        <is>
          <t>PJ-022</t>
        </is>
      </c>
      <c r="C128" s="6" t="inlineStr">
        <is>
          <t>Requirements Baselined</t>
        </is>
      </c>
      <c r="D128" s="9" t="inlineStr">
        <is>
          <t>2026-08-12</t>
        </is>
      </c>
      <c r="E128" s="9" t="inlineStr">
        <is>
          <t>2026-08-10</t>
        </is>
      </c>
      <c r="F128" s="9" t="inlineStr"/>
      <c r="G128" s="6" t="inlineStr">
        <is>
          <t>Overdue</t>
        </is>
      </c>
    </row>
    <row r="129">
      <c r="A129" s="6" t="inlineStr">
        <is>
          <t>MS-0128</t>
        </is>
      </c>
      <c r="B129" s="6" t="inlineStr">
        <is>
          <t>PJ-022</t>
        </is>
      </c>
      <c r="C129" s="6" t="inlineStr">
        <is>
          <t>Model Development Complete</t>
        </is>
      </c>
      <c r="D129" s="9" t="inlineStr">
        <is>
          <t>2026-09-15</t>
        </is>
      </c>
      <c r="E129" s="9" t="inlineStr">
        <is>
          <t>2026-09-23</t>
        </is>
      </c>
      <c r="F129" s="9" t="inlineStr"/>
      <c r="G129" s="6" t="inlineStr">
        <is>
          <t>Planned</t>
        </is>
      </c>
    </row>
    <row r="130">
      <c r="A130" s="6" t="inlineStr">
        <is>
          <t>MS-0129</t>
        </is>
      </c>
      <c r="B130" s="6" t="inlineStr">
        <is>
          <t>PJ-022</t>
        </is>
      </c>
      <c r="C130" s="6" t="inlineStr">
        <is>
          <t>Pilot Live</t>
        </is>
      </c>
      <c r="D130" s="9" t="inlineStr">
        <is>
          <t>2026-10-19</t>
        </is>
      </c>
      <c r="E130" s="9" t="inlineStr">
        <is>
          <t>2026-10-14</t>
        </is>
      </c>
      <c r="F130" s="9" t="inlineStr"/>
      <c r="G130" s="6" t="inlineStr">
        <is>
          <t>Planned</t>
        </is>
      </c>
    </row>
    <row r="131">
      <c r="A131" s="6" t="inlineStr">
        <is>
          <t>MS-0130</t>
        </is>
      </c>
      <c r="B131" s="6" t="inlineStr">
        <is>
          <t>PJ-022</t>
        </is>
      </c>
      <c r="C131" s="6" t="inlineStr">
        <is>
          <t>Change &amp; Training Complete</t>
        </is>
      </c>
      <c r="D131" s="9" t="inlineStr">
        <is>
          <t>2026-11-21</t>
        </is>
      </c>
      <c r="E131" s="9" t="inlineStr">
        <is>
          <t>2026-11-24</t>
        </is>
      </c>
      <c r="F131" s="9" t="inlineStr"/>
      <c r="G131" s="6" t="inlineStr">
        <is>
          <t>Planned</t>
        </is>
      </c>
    </row>
    <row r="132">
      <c r="A132" s="6" t="inlineStr">
        <is>
          <t>MS-0131</t>
        </is>
      </c>
      <c r="B132" s="6" t="inlineStr">
        <is>
          <t>PJ-022</t>
        </is>
      </c>
      <c r="C132" s="6" t="inlineStr">
        <is>
          <t>Scaled Rollout</t>
        </is>
      </c>
      <c r="D132" s="9" t="inlineStr">
        <is>
          <t>2026-12-25</t>
        </is>
      </c>
      <c r="E132" s="9" t="inlineStr">
        <is>
          <t>2027-01-06</t>
        </is>
      </c>
      <c r="F132" s="9" t="inlineStr"/>
      <c r="G132" s="6" t="inlineStr">
        <is>
          <t>Planned</t>
        </is>
      </c>
    </row>
    <row r="133">
      <c r="A133" s="6" t="inlineStr">
        <is>
          <t>MS-0132</t>
        </is>
      </c>
      <c r="B133" s="6" t="inlineStr">
        <is>
          <t>PJ-022</t>
        </is>
      </c>
      <c r="C133" s="6" t="inlineStr">
        <is>
          <t>Benefits Review</t>
        </is>
      </c>
      <c r="D133" s="9" t="inlineStr">
        <is>
          <t>2027-01-28</t>
        </is>
      </c>
      <c r="E133" s="9" t="inlineStr">
        <is>
          <t>2027-01-30</t>
        </is>
      </c>
      <c r="F133" s="9" t="inlineStr"/>
      <c r="G133" s="6" t="inlineStr">
        <is>
          <t>Planned</t>
        </is>
      </c>
    </row>
    <row r="134">
      <c r="A134" s="6" t="inlineStr">
        <is>
          <t>MS-0133</t>
        </is>
      </c>
      <c r="B134" s="6" t="inlineStr">
        <is>
          <t>PJ-023</t>
        </is>
      </c>
      <c r="C134" s="6" t="inlineStr">
        <is>
          <t>Architecture Baselined</t>
        </is>
      </c>
      <c r="D134" s="9" t="inlineStr">
        <is>
          <t>2025-08-12</t>
        </is>
      </c>
      <c r="E134" s="9" t="inlineStr">
        <is>
          <t>2025-08-21</t>
        </is>
      </c>
      <c r="F134" s="9" t="inlineStr"/>
      <c r="G134" s="6" t="inlineStr">
        <is>
          <t>Overdue</t>
        </is>
      </c>
    </row>
    <row r="135">
      <c r="A135" s="6" t="inlineStr">
        <is>
          <t>MS-0134</t>
        </is>
      </c>
      <c r="B135" s="6" t="inlineStr">
        <is>
          <t>PJ-023</t>
        </is>
      </c>
      <c r="C135" s="6" t="inlineStr">
        <is>
          <t>Data Access Agreed</t>
        </is>
      </c>
      <c r="D135" s="9" t="inlineStr">
        <is>
          <t>2025-11-07</t>
        </is>
      </c>
      <c r="E135" s="9" t="inlineStr">
        <is>
          <t>2025-11-06</t>
        </is>
      </c>
      <c r="F135" s="9" t="inlineStr">
        <is>
          <t>2025-11-06</t>
        </is>
      </c>
      <c r="G135" s="6" t="inlineStr">
        <is>
          <t>Complete</t>
        </is>
      </c>
    </row>
    <row r="136">
      <c r="A136" s="6" t="inlineStr">
        <is>
          <t>MS-0135</t>
        </is>
      </c>
      <c r="B136" s="6" t="inlineStr">
        <is>
          <t>PJ-023</t>
        </is>
      </c>
      <c r="C136" s="6" t="inlineStr">
        <is>
          <t>Build Complete</t>
        </is>
      </c>
      <c r="D136" s="9" t="inlineStr">
        <is>
          <t>2026-02-02</t>
        </is>
      </c>
      <c r="E136" s="9" t="inlineStr">
        <is>
          <t>2026-02-11</t>
        </is>
      </c>
      <c r="F136" s="9" t="inlineStr">
        <is>
          <t>2026-02-11</t>
        </is>
      </c>
      <c r="G136" s="6" t="inlineStr">
        <is>
          <t>Complete</t>
        </is>
      </c>
    </row>
    <row r="137">
      <c r="A137" s="6" t="inlineStr">
        <is>
          <t>MS-0136</t>
        </is>
      </c>
      <c r="B137" s="6" t="inlineStr">
        <is>
          <t>PJ-023</t>
        </is>
      </c>
      <c r="C137" s="6" t="inlineStr">
        <is>
          <t>Evaluation &amp; Red-Team Passed</t>
        </is>
      </c>
      <c r="D137" s="9" t="inlineStr">
        <is>
          <t>2026-04-30</t>
        </is>
      </c>
      <c r="E137" s="9" t="inlineStr">
        <is>
          <t>2026-05-13</t>
        </is>
      </c>
      <c r="F137" s="9" t="inlineStr">
        <is>
          <t>2026-05-13</t>
        </is>
      </c>
      <c r="G137" s="6" t="inlineStr">
        <is>
          <t>Complete</t>
        </is>
      </c>
    </row>
    <row r="138">
      <c r="A138" s="6" t="inlineStr">
        <is>
          <t>MS-0137</t>
        </is>
      </c>
      <c r="B138" s="6" t="inlineStr">
        <is>
          <t>PJ-023</t>
        </is>
      </c>
      <c r="C138" s="6" t="inlineStr">
        <is>
          <t>Benefits Review</t>
        </is>
      </c>
      <c r="D138" s="9" t="inlineStr">
        <is>
          <t>2026-07-26</t>
        </is>
      </c>
      <c r="E138" s="9" t="inlineStr">
        <is>
          <t>2026-08-11</t>
        </is>
      </c>
      <c r="F138" s="9" t="inlineStr">
        <is>
          <t>2026-08-11</t>
        </is>
      </c>
      <c r="G138" s="6" t="inlineStr">
        <is>
          <t>Complete</t>
        </is>
      </c>
    </row>
    <row r="139">
      <c r="A139" s="6" t="inlineStr">
        <is>
          <t>MS-0138</t>
        </is>
      </c>
      <c r="B139" s="6" t="inlineStr">
        <is>
          <t>PJ-024</t>
        </is>
      </c>
      <c r="C139" s="6" t="inlineStr">
        <is>
          <t>Mandate Approved</t>
        </is>
      </c>
      <c r="D139" s="9" t="inlineStr">
        <is>
          <t>2026-03-10</t>
        </is>
      </c>
      <c r="E139" s="9" t="inlineStr">
        <is>
          <t>2026-03-11</t>
        </is>
      </c>
      <c r="F139" s="9" t="inlineStr">
        <is>
          <t>2026-03-11</t>
        </is>
      </c>
      <c r="G139" s="6" t="inlineStr">
        <is>
          <t>Complete</t>
        </is>
      </c>
    </row>
    <row r="140">
      <c r="A140" s="6" t="inlineStr">
        <is>
          <t>MS-0139</t>
        </is>
      </c>
      <c r="B140" s="6" t="inlineStr">
        <is>
          <t>PJ-024</t>
        </is>
      </c>
      <c r="C140" s="6" t="inlineStr">
        <is>
          <t>Counterpart Engagement Opened</t>
        </is>
      </c>
      <c r="D140" s="9" t="inlineStr">
        <is>
          <t>2026-06-05</t>
        </is>
      </c>
      <c r="E140" s="9" t="inlineStr">
        <is>
          <t>2026-06-20</t>
        </is>
      </c>
      <c r="F140" s="9" t="inlineStr">
        <is>
          <t>2026-06-20</t>
        </is>
      </c>
      <c r="G140" s="6" t="inlineStr">
        <is>
          <t>Complete</t>
        </is>
      </c>
    </row>
    <row r="141">
      <c r="A141" s="6" t="inlineStr">
        <is>
          <t>MS-0140</t>
        </is>
      </c>
      <c r="B141" s="6" t="inlineStr">
        <is>
          <t>PJ-024</t>
        </is>
      </c>
      <c r="C141" s="6" t="inlineStr">
        <is>
          <t>Term Sheet Agreed</t>
        </is>
      </c>
      <c r="D141" s="9" t="inlineStr">
        <is>
          <t>2026-08-31</t>
        </is>
      </c>
      <c r="E141" s="9" t="inlineStr">
        <is>
          <t>2026-09-23</t>
        </is>
      </c>
      <c r="F141" s="9" t="inlineStr"/>
      <c r="G141" s="6" t="inlineStr">
        <is>
          <t>Planned</t>
        </is>
      </c>
    </row>
    <row r="142">
      <c r="A142" s="6" t="inlineStr">
        <is>
          <t>MS-0141</t>
        </is>
      </c>
      <c r="B142" s="6" t="inlineStr">
        <is>
          <t>PJ-024</t>
        </is>
      </c>
      <c r="C142" s="6" t="inlineStr">
        <is>
          <t>Signature</t>
        </is>
      </c>
      <c r="D142" s="9" t="inlineStr">
        <is>
          <t>2026-11-26</t>
        </is>
      </c>
      <c r="E142" s="9" t="inlineStr">
        <is>
          <t>2026-12-23</t>
        </is>
      </c>
      <c r="F142" s="9" t="inlineStr"/>
      <c r="G142" s="6" t="inlineStr">
        <is>
          <t>Planned</t>
        </is>
      </c>
    </row>
    <row r="143">
      <c r="A143" s="6" t="inlineStr">
        <is>
          <t>MS-0142</t>
        </is>
      </c>
      <c r="B143" s="6" t="inlineStr">
        <is>
          <t>PJ-024</t>
        </is>
      </c>
      <c r="C143" s="6" t="inlineStr">
        <is>
          <t>Ratification Complete</t>
        </is>
      </c>
      <c r="D143" s="9" t="inlineStr">
        <is>
          <t>2027-02-21</t>
        </is>
      </c>
      <c r="E143" s="9" t="inlineStr">
        <is>
          <t>2027-02-16</t>
        </is>
      </c>
      <c r="F143" s="9" t="inlineStr"/>
      <c r="G143" s="6" t="inlineStr">
        <is>
          <t>Planned</t>
        </is>
      </c>
    </row>
    <row r="144">
      <c r="A144" s="6" t="inlineStr">
        <is>
          <t>MS-0143</t>
        </is>
      </c>
      <c r="B144" s="6" t="inlineStr">
        <is>
          <t>PJ-024</t>
        </is>
      </c>
      <c r="C144" s="6" t="inlineStr">
        <is>
          <t>First Delivery Received</t>
        </is>
      </c>
      <c r="D144" s="9" t="inlineStr">
        <is>
          <t>2027-05-19</t>
        </is>
      </c>
      <c r="E144" s="9" t="inlineStr">
        <is>
          <t>2027-06-08</t>
        </is>
      </c>
      <c r="F144" s="9" t="inlineStr"/>
      <c r="G144" s="6" t="inlineStr">
        <is>
          <t>Planned</t>
        </is>
      </c>
    </row>
    <row r="145">
      <c r="A145" s="6" t="inlineStr">
        <is>
          <t>MS-0144</t>
        </is>
      </c>
      <c r="B145" s="6" t="inlineStr">
        <is>
          <t>PJ-025</t>
        </is>
      </c>
      <c r="C145" s="6" t="inlineStr">
        <is>
          <t>Counterpart Engagement Opened</t>
        </is>
      </c>
      <c r="D145" s="9" t="inlineStr">
        <is>
          <t>2026-01-10</t>
        </is>
      </c>
      <c r="E145" s="9" t="inlineStr">
        <is>
          <t>2026-01-19</t>
        </is>
      </c>
      <c r="F145" s="9" t="inlineStr">
        <is>
          <t>2026-01-19</t>
        </is>
      </c>
      <c r="G145" s="6" t="inlineStr">
        <is>
          <t>Complete</t>
        </is>
      </c>
    </row>
    <row r="146">
      <c r="A146" s="6" t="inlineStr">
        <is>
          <t>MS-0145</t>
        </is>
      </c>
      <c r="B146" s="6" t="inlineStr">
        <is>
          <t>PJ-025</t>
        </is>
      </c>
      <c r="C146" s="6" t="inlineStr">
        <is>
          <t>Term Sheet Agreed</t>
        </is>
      </c>
      <c r="D146" s="9" t="inlineStr">
        <is>
          <t>2026-04-11</t>
        </is>
      </c>
      <c r="E146" s="9" t="inlineStr">
        <is>
          <t>2026-05-01</t>
        </is>
      </c>
      <c r="F146" s="9" t="inlineStr"/>
      <c r="G146" s="6" t="inlineStr">
        <is>
          <t>Overdue</t>
        </is>
      </c>
    </row>
    <row r="147">
      <c r="A147" s="6" t="inlineStr">
        <is>
          <t>MS-0146</t>
        </is>
      </c>
      <c r="B147" s="6" t="inlineStr">
        <is>
          <t>PJ-025</t>
        </is>
      </c>
      <c r="C147" s="6" t="inlineStr">
        <is>
          <t>Cabinet / Board Approval</t>
        </is>
      </c>
      <c r="D147" s="9" t="inlineStr">
        <is>
          <t>2026-07-11</t>
        </is>
      </c>
      <c r="E147" s="9" t="inlineStr">
        <is>
          <t>2026-07-28</t>
        </is>
      </c>
      <c r="F147" s="9" t="inlineStr">
        <is>
          <t>2026-07-28</t>
        </is>
      </c>
      <c r="G147" s="6" t="inlineStr">
        <is>
          <t>Complete</t>
        </is>
      </c>
    </row>
    <row r="148">
      <c r="A148" s="6" t="inlineStr">
        <is>
          <t>MS-0147</t>
        </is>
      </c>
      <c r="B148" s="6" t="inlineStr">
        <is>
          <t>PJ-025</t>
        </is>
      </c>
      <c r="C148" s="6" t="inlineStr">
        <is>
          <t>First Delivery Received</t>
        </is>
      </c>
      <c r="D148" s="9" t="inlineStr">
        <is>
          <t>2026-10-10</t>
        </is>
      </c>
      <c r="E148" s="9" t="inlineStr">
        <is>
          <t>2026-10-06</t>
        </is>
      </c>
      <c r="F148" s="9" t="inlineStr"/>
      <c r="G148" s="6" t="inlineStr">
        <is>
          <t>Planned</t>
        </is>
      </c>
    </row>
    <row r="149">
      <c r="A149" s="6" t="inlineStr">
        <is>
          <t>MS-0148</t>
        </is>
      </c>
      <c r="B149" s="6" t="inlineStr">
        <is>
          <t>PJ-026</t>
        </is>
      </c>
      <c r="C149" s="6" t="inlineStr">
        <is>
          <t>Counterpart Engagement Opened</t>
        </is>
      </c>
      <c r="D149" s="9" t="inlineStr">
        <is>
          <t>2025-11-07</t>
        </is>
      </c>
      <c r="E149" s="9" t="inlineStr">
        <is>
          <t>2025-11-02</t>
        </is>
      </c>
      <c r="F149" s="9" t="inlineStr">
        <is>
          <t>2025-11-02</t>
        </is>
      </c>
      <c r="G149" s="6" t="inlineStr">
        <is>
          <t>Complete</t>
        </is>
      </c>
    </row>
    <row r="150">
      <c r="A150" s="6" t="inlineStr">
        <is>
          <t>MS-0149</t>
        </is>
      </c>
      <c r="B150" s="6" t="inlineStr">
        <is>
          <t>PJ-026</t>
        </is>
      </c>
      <c r="C150" s="6" t="inlineStr">
        <is>
          <t>Term Sheet Agreed</t>
        </is>
      </c>
      <c r="D150" s="9" t="inlineStr">
        <is>
          <t>2026-03-18</t>
        </is>
      </c>
      <c r="E150" s="9" t="inlineStr">
        <is>
          <t>2026-04-04</t>
        </is>
      </c>
      <c r="F150" s="9" t="inlineStr">
        <is>
          <t>2026-04-04</t>
        </is>
      </c>
      <c r="G150" s="6" t="inlineStr">
        <is>
          <t>Complete</t>
        </is>
      </c>
    </row>
    <row r="151">
      <c r="A151" s="6" t="inlineStr">
        <is>
          <t>MS-0150</t>
        </is>
      </c>
      <c r="B151" s="6" t="inlineStr">
        <is>
          <t>PJ-026</t>
        </is>
      </c>
      <c r="C151" s="6" t="inlineStr">
        <is>
          <t>Cabinet / Board Approval</t>
        </is>
      </c>
      <c r="D151" s="9" t="inlineStr">
        <is>
          <t>2026-07-27</t>
        </is>
      </c>
      <c r="E151" s="9" t="inlineStr">
        <is>
          <t>2026-08-01</t>
        </is>
      </c>
      <c r="F151" s="9" t="inlineStr">
        <is>
          <t>2026-08-01</t>
        </is>
      </c>
      <c r="G151" s="6" t="inlineStr">
        <is>
          <t>Complete</t>
        </is>
      </c>
    </row>
    <row r="152">
      <c r="A152" s="6" t="inlineStr">
        <is>
          <t>MS-0151</t>
        </is>
      </c>
      <c r="B152" s="6" t="inlineStr">
        <is>
          <t>PJ-026</t>
        </is>
      </c>
      <c r="C152" s="6" t="inlineStr">
        <is>
          <t>First Delivery Received</t>
        </is>
      </c>
      <c r="D152" s="9" t="inlineStr">
        <is>
          <t>2026-12-05</t>
        </is>
      </c>
      <c r="E152" s="9" t="inlineStr">
        <is>
          <t>2026-12-04</t>
        </is>
      </c>
      <c r="F152" s="9" t="inlineStr"/>
      <c r="G152" s="6" t="inlineStr">
        <is>
          <t>Planned</t>
        </is>
      </c>
    </row>
    <row r="153">
      <c r="A153" s="6" t="inlineStr">
        <is>
          <t>MS-0152</t>
        </is>
      </c>
      <c r="B153" s="6" t="inlineStr">
        <is>
          <t>PJ-027</t>
        </is>
      </c>
      <c r="C153" s="6" t="inlineStr">
        <is>
          <t>Counterpart Engagement Opened</t>
        </is>
      </c>
      <c r="D153" s="9" t="inlineStr">
        <is>
          <t>2026-08-31</t>
        </is>
      </c>
      <c r="E153" s="9" t="inlineStr">
        <is>
          <t>2026-09-14</t>
        </is>
      </c>
      <c r="F153" s="9" t="inlineStr"/>
      <c r="G153" s="6" t="inlineStr">
        <is>
          <t>Planned</t>
        </is>
      </c>
    </row>
    <row r="154">
      <c r="A154" s="6" t="inlineStr">
        <is>
          <t>MS-0153</t>
        </is>
      </c>
      <c r="B154" s="6" t="inlineStr">
        <is>
          <t>PJ-027</t>
        </is>
      </c>
      <c r="C154" s="6" t="inlineStr">
        <is>
          <t>Legal &amp; Compliance Review</t>
        </is>
      </c>
      <c r="D154" s="9" t="inlineStr">
        <is>
          <t>2026-11-14</t>
        </is>
      </c>
      <c r="E154" s="9" t="inlineStr">
        <is>
          <t>2026-11-27</t>
        </is>
      </c>
      <c r="F154" s="9" t="inlineStr"/>
      <c r="G154" s="6" t="inlineStr">
        <is>
          <t>Planned</t>
        </is>
      </c>
    </row>
    <row r="155">
      <c r="A155" s="6" t="inlineStr">
        <is>
          <t>MS-0154</t>
        </is>
      </c>
      <c r="B155" s="6" t="inlineStr">
        <is>
          <t>PJ-027</t>
        </is>
      </c>
      <c r="C155" s="6" t="inlineStr">
        <is>
          <t>Cabinet / Board Approval</t>
        </is>
      </c>
      <c r="D155" s="9" t="inlineStr">
        <is>
          <t>2027-01-27</t>
        </is>
      </c>
      <c r="E155" s="9" t="inlineStr">
        <is>
          <t>2027-02-12</t>
        </is>
      </c>
      <c r="F155" s="9" t="inlineStr"/>
      <c r="G155" s="6" t="inlineStr">
        <is>
          <t>Planned</t>
        </is>
      </c>
    </row>
    <row r="156">
      <c r="A156" s="6" t="inlineStr">
        <is>
          <t>MS-0155</t>
        </is>
      </c>
      <c r="B156" s="6" t="inlineStr">
        <is>
          <t>PJ-027</t>
        </is>
      </c>
      <c r="C156" s="6" t="inlineStr">
        <is>
          <t>Signature</t>
        </is>
      </c>
      <c r="D156" s="9" t="inlineStr">
        <is>
          <t>2027-04-12</t>
        </is>
      </c>
      <c r="E156" s="9" t="inlineStr">
        <is>
          <t>2027-04-27</t>
        </is>
      </c>
      <c r="F156" s="9" t="inlineStr"/>
      <c r="G156" s="6" t="inlineStr">
        <is>
          <t>Planned</t>
        </is>
      </c>
    </row>
    <row r="157">
      <c r="A157" s="6" t="inlineStr">
        <is>
          <t>MS-0156</t>
        </is>
      </c>
      <c r="B157" s="6" t="inlineStr">
        <is>
          <t>PJ-028</t>
        </is>
      </c>
      <c r="C157" s="6" t="inlineStr">
        <is>
          <t>Site Selection Approved</t>
        </is>
      </c>
      <c r="D157" s="9" t="inlineStr">
        <is>
          <t>2026-06-14</t>
        </is>
      </c>
      <c r="E157" s="9" t="inlineStr">
        <is>
          <t>2026-06-30</t>
        </is>
      </c>
      <c r="F157" s="9" t="inlineStr">
        <is>
          <t>2026-06-30</t>
        </is>
      </c>
      <c r="G157" s="6" t="inlineStr">
        <is>
          <t>Complete</t>
        </is>
      </c>
    </row>
    <row r="158">
      <c r="A158" s="6" t="inlineStr">
        <is>
          <t>MS-0157</t>
        </is>
      </c>
      <c r="B158" s="6" t="inlineStr">
        <is>
          <t>PJ-028</t>
        </is>
      </c>
      <c r="C158" s="6" t="inlineStr">
        <is>
          <t>Design Authority Approval</t>
        </is>
      </c>
      <c r="D158" s="9" t="inlineStr">
        <is>
          <t>2026-08-27</t>
        </is>
      </c>
      <c r="E158" s="9" t="inlineStr">
        <is>
          <t>2026-09-06</t>
        </is>
      </c>
      <c r="F158" s="9" t="inlineStr"/>
      <c r="G158" s="6" t="inlineStr">
        <is>
          <t>Planned</t>
        </is>
      </c>
    </row>
    <row r="159">
      <c r="A159" s="6" t="inlineStr">
        <is>
          <t>MS-0158</t>
        </is>
      </c>
      <c r="B159" s="6" t="inlineStr">
        <is>
          <t>PJ-028</t>
        </is>
      </c>
      <c r="C159" s="6" t="inlineStr">
        <is>
          <t>Construction Start</t>
        </is>
      </c>
      <c r="D159" s="9" t="inlineStr">
        <is>
          <t>2026-11-09</t>
        </is>
      </c>
      <c r="E159" s="9" t="inlineStr">
        <is>
          <t>2026-11-16</t>
        </is>
      </c>
      <c r="F159" s="9" t="inlineStr"/>
      <c r="G159" s="6" t="inlineStr">
        <is>
          <t>Planned</t>
        </is>
      </c>
    </row>
    <row r="160">
      <c r="A160" s="6" t="inlineStr">
        <is>
          <t>MS-0159</t>
        </is>
      </c>
      <c r="B160" s="6" t="inlineStr">
        <is>
          <t>PJ-028</t>
        </is>
      </c>
      <c r="C160" s="6" t="inlineStr">
        <is>
          <t>Equipment Installation Complete</t>
        </is>
      </c>
      <c r="D160" s="9" t="inlineStr">
        <is>
          <t>2027-01-23</t>
        </is>
      </c>
      <c r="E160" s="9" t="inlineStr">
        <is>
          <t>2027-02-08</t>
        </is>
      </c>
      <c r="F160" s="9" t="inlineStr"/>
      <c r="G160" s="6" t="inlineStr">
        <is>
          <t>Planned</t>
        </is>
      </c>
    </row>
    <row r="161">
      <c r="A161" s="6" t="inlineStr">
        <is>
          <t>MS-0160</t>
        </is>
      </c>
      <c r="B161" s="6" t="inlineStr">
        <is>
          <t>PJ-028</t>
        </is>
      </c>
      <c r="C161" s="6" t="inlineStr">
        <is>
          <t>Commissioning &amp; Test</t>
        </is>
      </c>
      <c r="D161" s="9" t="inlineStr">
        <is>
          <t>2027-04-07</t>
        </is>
      </c>
      <c r="E161" s="9" t="inlineStr">
        <is>
          <t>2027-04-18</t>
        </is>
      </c>
      <c r="F161" s="9" t="inlineStr"/>
      <c r="G161" s="6" t="inlineStr">
        <is>
          <t>Planned</t>
        </is>
      </c>
    </row>
    <row r="162">
      <c r="A162" s="6" t="inlineStr">
        <is>
          <t>MS-0161</t>
        </is>
      </c>
      <c r="B162" s="6" t="inlineStr">
        <is>
          <t>PJ-028</t>
        </is>
      </c>
      <c r="C162" s="6" t="inlineStr">
        <is>
          <t>Operational Handover</t>
        </is>
      </c>
      <c r="D162" s="9" t="inlineStr">
        <is>
          <t>2027-06-20</t>
        </is>
      </c>
      <c r="E162" s="9" t="inlineStr">
        <is>
          <t>2027-06-21</t>
        </is>
      </c>
      <c r="F162" s="9" t="inlineStr"/>
      <c r="G162" s="6" t="inlineStr">
        <is>
          <t>Planned</t>
        </is>
      </c>
    </row>
    <row r="163">
      <c r="A163" s="6" t="inlineStr">
        <is>
          <t>MS-0162</t>
        </is>
      </c>
      <c r="B163" s="6" t="inlineStr">
        <is>
          <t>PJ-029</t>
        </is>
      </c>
      <c r="C163" s="6" t="inlineStr">
        <is>
          <t>Mandate Approved</t>
        </is>
      </c>
      <c r="D163" s="9" t="inlineStr">
        <is>
          <t>2026-06-03</t>
        </is>
      </c>
      <c r="E163" s="9" t="inlineStr">
        <is>
          <t>2026-06-15</t>
        </is>
      </c>
      <c r="F163" s="9" t="inlineStr">
        <is>
          <t>2026-06-15</t>
        </is>
      </c>
      <c r="G163" s="6" t="inlineStr">
        <is>
          <t>Complete</t>
        </is>
      </c>
    </row>
    <row r="164">
      <c r="A164" s="6" t="inlineStr">
        <is>
          <t>MS-0163</t>
        </is>
      </c>
      <c r="B164" s="6" t="inlineStr">
        <is>
          <t>PJ-029</t>
        </is>
      </c>
      <c r="C164" s="6" t="inlineStr">
        <is>
          <t>Counterpart Engagement Opened</t>
        </is>
      </c>
      <c r="D164" s="9" t="inlineStr">
        <is>
          <t>2026-07-02</t>
        </is>
      </c>
      <c r="E164" s="9" t="inlineStr">
        <is>
          <t>2026-07-19</t>
        </is>
      </c>
      <c r="F164" s="9" t="inlineStr">
        <is>
          <t>2026-07-19</t>
        </is>
      </c>
      <c r="G164" s="6" t="inlineStr">
        <is>
          <t>Complete</t>
        </is>
      </c>
    </row>
    <row r="165">
      <c r="A165" s="6" t="inlineStr">
        <is>
          <t>MS-0164</t>
        </is>
      </c>
      <c r="B165" s="6" t="inlineStr">
        <is>
          <t>PJ-029</t>
        </is>
      </c>
      <c r="C165" s="6" t="inlineStr">
        <is>
          <t>Term Sheet Agreed</t>
        </is>
      </c>
      <c r="D165" s="9" t="inlineStr">
        <is>
          <t>2026-07-31</t>
        </is>
      </c>
      <c r="E165" s="9" t="inlineStr">
        <is>
          <t>2026-08-18</t>
        </is>
      </c>
      <c r="F165" s="9" t="inlineStr"/>
      <c r="G165" s="6" t="inlineStr">
        <is>
          <t>Planned</t>
        </is>
      </c>
    </row>
    <row r="166">
      <c r="A166" s="6" t="inlineStr">
        <is>
          <t>MS-0165</t>
        </is>
      </c>
      <c r="B166" s="6" t="inlineStr">
        <is>
          <t>PJ-029</t>
        </is>
      </c>
      <c r="C166" s="6" t="inlineStr">
        <is>
          <t>Cabinet / Board Approval</t>
        </is>
      </c>
      <c r="D166" s="9" t="inlineStr">
        <is>
          <t>2026-08-29</t>
        </is>
      </c>
      <c r="E166" s="9" t="inlineStr">
        <is>
          <t>2026-09-07</t>
        </is>
      </c>
      <c r="F166" s="9" t="inlineStr"/>
      <c r="G166" s="6" t="inlineStr">
        <is>
          <t>Planned</t>
        </is>
      </c>
    </row>
    <row r="167">
      <c r="A167" s="6" t="inlineStr">
        <is>
          <t>MS-0166</t>
        </is>
      </c>
      <c r="B167" s="6" t="inlineStr">
        <is>
          <t>PJ-029</t>
        </is>
      </c>
      <c r="C167" s="6" t="inlineStr">
        <is>
          <t>Signature</t>
        </is>
      </c>
      <c r="D167" s="9" t="inlineStr">
        <is>
          <t>2026-09-27</t>
        </is>
      </c>
      <c r="E167" s="9" t="inlineStr">
        <is>
          <t>2026-10-05</t>
        </is>
      </c>
      <c r="F167" s="9" t="inlineStr"/>
      <c r="G167" s="6" t="inlineStr">
        <is>
          <t>Planned</t>
        </is>
      </c>
    </row>
    <row r="168">
      <c r="A168" s="6" t="inlineStr">
        <is>
          <t>MS-0167</t>
        </is>
      </c>
      <c r="B168" s="6" t="inlineStr">
        <is>
          <t>PJ-029</t>
        </is>
      </c>
      <c r="C168" s="6" t="inlineStr">
        <is>
          <t>Ratification Complete</t>
        </is>
      </c>
      <c r="D168" s="9" t="inlineStr">
        <is>
          <t>2026-10-26</t>
        </is>
      </c>
      <c r="E168" s="9" t="inlineStr">
        <is>
          <t>2026-11-01</t>
        </is>
      </c>
      <c r="F168" s="9" t="inlineStr"/>
      <c r="G168" s="6" t="inlineStr">
        <is>
          <t>Planned</t>
        </is>
      </c>
    </row>
    <row r="169">
      <c r="A169" s="6" t="inlineStr">
        <is>
          <t>MS-0168</t>
        </is>
      </c>
      <c r="B169" s="6" t="inlineStr">
        <is>
          <t>PJ-030</t>
        </is>
      </c>
      <c r="C169" s="6" t="inlineStr">
        <is>
          <t>Design Authority Approval</t>
        </is>
      </c>
      <c r="D169" s="9" t="inlineStr">
        <is>
          <t>2025-09-15</t>
        </is>
      </c>
      <c r="E169" s="9" t="inlineStr">
        <is>
          <t>2025-09-23</t>
        </is>
      </c>
      <c r="F169" s="9" t="inlineStr">
        <is>
          <t>2025-09-23</t>
        </is>
      </c>
      <c r="G169" s="6" t="inlineStr">
        <is>
          <t>Complete</t>
        </is>
      </c>
    </row>
    <row r="170">
      <c r="A170" s="6" t="inlineStr">
        <is>
          <t>MS-0169</t>
        </is>
      </c>
      <c r="B170" s="6" t="inlineStr">
        <is>
          <t>PJ-030</t>
        </is>
      </c>
      <c r="C170" s="6" t="inlineStr">
        <is>
          <t>Construction Start</t>
        </is>
      </c>
      <c r="D170" s="9" t="inlineStr">
        <is>
          <t>2026-01-05</t>
        </is>
      </c>
      <c r="E170" s="9" t="inlineStr">
        <is>
          <t>2026-01-09</t>
        </is>
      </c>
      <c r="F170" s="9" t="inlineStr">
        <is>
          <t>2026-01-09</t>
        </is>
      </c>
      <c r="G170" s="6" t="inlineStr">
        <is>
          <t>Complete</t>
        </is>
      </c>
    </row>
    <row r="171">
      <c r="A171" s="6" t="inlineStr">
        <is>
          <t>MS-0170</t>
        </is>
      </c>
      <c r="B171" s="6" t="inlineStr">
        <is>
          <t>PJ-030</t>
        </is>
      </c>
      <c r="C171" s="6" t="inlineStr">
        <is>
          <t>Equipment Installation Complete</t>
        </is>
      </c>
      <c r="D171" s="9" t="inlineStr">
        <is>
          <t>2026-04-27</t>
        </is>
      </c>
      <c r="E171" s="9" t="inlineStr">
        <is>
          <t>2026-04-23</t>
        </is>
      </c>
      <c r="F171" s="9" t="inlineStr">
        <is>
          <t>2026-04-23</t>
        </is>
      </c>
      <c r="G171" s="6" t="inlineStr">
        <is>
          <t>Complete</t>
        </is>
      </c>
    </row>
    <row r="172">
      <c r="A172" s="6" t="inlineStr">
        <is>
          <t>MS-0171</t>
        </is>
      </c>
      <c r="B172" s="6" t="inlineStr">
        <is>
          <t>PJ-030</t>
        </is>
      </c>
      <c r="C172" s="6" t="inlineStr">
        <is>
          <t>Commissioning &amp; Test</t>
        </is>
      </c>
      <c r="D172" s="9" t="inlineStr">
        <is>
          <t>2026-08-17</t>
        </is>
      </c>
      <c r="E172" s="9" t="inlineStr">
        <is>
          <t>2026-08-25</t>
        </is>
      </c>
      <c r="F172" s="9" t="inlineStr"/>
      <c r="G172" s="6" t="inlineStr">
        <is>
          <t>Planned</t>
        </is>
      </c>
    </row>
    <row r="173">
      <c r="A173" s="6" t="inlineStr">
        <is>
          <t>MS-0172</t>
        </is>
      </c>
      <c r="B173" s="6" t="inlineStr">
        <is>
          <t>PJ-031</t>
        </is>
      </c>
      <c r="C173" s="6" t="inlineStr">
        <is>
          <t>Mandate Approved</t>
        </is>
      </c>
      <c r="D173" s="9" t="inlineStr">
        <is>
          <t>2026-07-19</t>
        </is>
      </c>
      <c r="E173" s="9" t="inlineStr">
        <is>
          <t>2026-07-31</t>
        </is>
      </c>
      <c r="F173" s="9" t="inlineStr">
        <is>
          <t>2026-07-31</t>
        </is>
      </c>
      <c r="G173" s="6" t="inlineStr">
        <is>
          <t>Complete</t>
        </is>
      </c>
    </row>
    <row r="174">
      <c r="A174" s="6" t="inlineStr">
        <is>
          <t>MS-0173</t>
        </is>
      </c>
      <c r="B174" s="6" t="inlineStr">
        <is>
          <t>PJ-031</t>
        </is>
      </c>
      <c r="C174" s="6" t="inlineStr">
        <is>
          <t>Counterpart Engagement Opened</t>
        </is>
      </c>
      <c r="D174" s="9" t="inlineStr">
        <is>
          <t>2026-08-12</t>
        </is>
      </c>
      <c r="E174" s="9" t="inlineStr">
        <is>
          <t>2026-08-10</t>
        </is>
      </c>
      <c r="F174" s="9" t="inlineStr">
        <is>
          <t>2026-08-10</t>
        </is>
      </c>
      <c r="G174" s="6" t="inlineStr">
        <is>
          <t>Complete</t>
        </is>
      </c>
    </row>
    <row r="175">
      <c r="A175" s="6" t="inlineStr">
        <is>
          <t>MS-0174</t>
        </is>
      </c>
      <c r="B175" s="6" t="inlineStr">
        <is>
          <t>PJ-031</t>
        </is>
      </c>
      <c r="C175" s="6" t="inlineStr">
        <is>
          <t>Term Sheet Agreed</t>
        </is>
      </c>
      <c r="D175" s="9" t="inlineStr">
        <is>
          <t>2026-09-05</t>
        </is>
      </c>
      <c r="E175" s="9" t="inlineStr">
        <is>
          <t>2026-09-07</t>
        </is>
      </c>
      <c r="F175" s="9" t="inlineStr"/>
      <c r="G175" s="6" t="inlineStr">
        <is>
          <t>Planned</t>
        </is>
      </c>
    </row>
    <row r="176">
      <c r="A176" s="6" t="inlineStr">
        <is>
          <t>MS-0175</t>
        </is>
      </c>
      <c r="B176" s="6" t="inlineStr">
        <is>
          <t>PJ-031</t>
        </is>
      </c>
      <c r="C176" s="6" t="inlineStr">
        <is>
          <t>Cabinet / Board Approval</t>
        </is>
      </c>
      <c r="D176" s="9" t="inlineStr">
        <is>
          <t>2026-09-30</t>
        </is>
      </c>
      <c r="E176" s="9" t="inlineStr">
        <is>
          <t>2026-10-02</t>
        </is>
      </c>
      <c r="F176" s="9" t="inlineStr"/>
      <c r="G176" s="6" t="inlineStr">
        <is>
          <t>Planned</t>
        </is>
      </c>
    </row>
    <row r="177">
      <c r="A177" s="6" t="inlineStr">
        <is>
          <t>MS-0176</t>
        </is>
      </c>
      <c r="B177" s="6" t="inlineStr">
        <is>
          <t>PJ-031</t>
        </is>
      </c>
      <c r="C177" s="6" t="inlineStr">
        <is>
          <t>Signature</t>
        </is>
      </c>
      <c r="D177" s="9" t="inlineStr">
        <is>
          <t>2026-10-24</t>
        </is>
      </c>
      <c r="E177" s="9" t="inlineStr">
        <is>
          <t>2026-10-31</t>
        </is>
      </c>
      <c r="F177" s="9" t="inlineStr"/>
      <c r="G177" s="6" t="inlineStr">
        <is>
          <t>Planned</t>
        </is>
      </c>
    </row>
    <row r="178">
      <c r="A178" s="6" t="inlineStr">
        <is>
          <t>MS-0177</t>
        </is>
      </c>
      <c r="B178" s="6" t="inlineStr">
        <is>
          <t>PJ-031</t>
        </is>
      </c>
      <c r="C178" s="6" t="inlineStr">
        <is>
          <t>Ratification Complete</t>
        </is>
      </c>
      <c r="D178" s="9" t="inlineStr">
        <is>
          <t>2026-11-17</t>
        </is>
      </c>
      <c r="E178" s="9" t="inlineStr">
        <is>
          <t>2026-11-18</t>
        </is>
      </c>
      <c r="F178" s="9" t="inlineStr"/>
      <c r="G178" s="6" t="inlineStr">
        <is>
          <t>Planned</t>
        </is>
      </c>
    </row>
    <row r="179">
      <c r="A179" s="6" t="inlineStr">
        <is>
          <t>MS-0178</t>
        </is>
      </c>
      <c r="B179" s="6" t="inlineStr">
        <is>
          <t>PJ-031</t>
        </is>
      </c>
      <c r="C179" s="6" t="inlineStr">
        <is>
          <t>First Delivery Received</t>
        </is>
      </c>
      <c r="D179" s="9" t="inlineStr">
        <is>
          <t>2026-12-11</t>
        </is>
      </c>
      <c r="E179" s="9" t="inlineStr">
        <is>
          <t>2026-12-05</t>
        </is>
      </c>
      <c r="F179" s="9" t="inlineStr"/>
      <c r="G179" s="6" t="inlineStr">
        <is>
          <t>Planned</t>
        </is>
      </c>
    </row>
    <row r="180">
      <c r="A180" s="6" t="inlineStr">
        <is>
          <t>MS-0179</t>
        </is>
      </c>
      <c r="B180" s="6" t="inlineStr">
        <is>
          <t>PJ-032</t>
        </is>
      </c>
      <c r="C180" s="6" t="inlineStr">
        <is>
          <t>Business Case Approved</t>
        </is>
      </c>
      <c r="D180" s="9" t="inlineStr">
        <is>
          <t>2026-08-21</t>
        </is>
      </c>
      <c r="E180" s="9" t="inlineStr">
        <is>
          <t>2026-08-15</t>
        </is>
      </c>
      <c r="F180" s="9" t="inlineStr">
        <is>
          <t>2026-08-15</t>
        </is>
      </c>
      <c r="G180" s="6" t="inlineStr">
        <is>
          <t>Complete</t>
        </is>
      </c>
    </row>
    <row r="181">
      <c r="A181" s="6" t="inlineStr">
        <is>
          <t>MS-0180</t>
        </is>
      </c>
      <c r="B181" s="6" t="inlineStr">
        <is>
          <t>PJ-032</t>
        </is>
      </c>
      <c r="C181" s="6" t="inlineStr">
        <is>
          <t>Requirements Baselined</t>
        </is>
      </c>
      <c r="D181" s="9" t="inlineStr">
        <is>
          <t>2026-11-16</t>
        </is>
      </c>
      <c r="E181" s="9" t="inlineStr">
        <is>
          <t>2026-11-25</t>
        </is>
      </c>
      <c r="F181" s="9" t="inlineStr"/>
      <c r="G181" s="6" t="inlineStr">
        <is>
          <t>Planned</t>
        </is>
      </c>
    </row>
    <row r="182">
      <c r="A182" s="6" t="inlineStr">
        <is>
          <t>MS-0181</t>
        </is>
      </c>
      <c r="B182" s="6" t="inlineStr">
        <is>
          <t>PJ-032</t>
        </is>
      </c>
      <c r="C182" s="6" t="inlineStr">
        <is>
          <t>Change &amp; Training Complete</t>
        </is>
      </c>
      <c r="D182" s="9" t="inlineStr">
        <is>
          <t>2027-02-10</t>
        </is>
      </c>
      <c r="E182" s="9" t="inlineStr">
        <is>
          <t>2027-02-26</t>
        </is>
      </c>
      <c r="F182" s="9" t="inlineStr"/>
      <c r="G182" s="6" t="inlineStr">
        <is>
          <t>Planned</t>
        </is>
      </c>
    </row>
    <row r="183">
      <c r="A183" s="6" t="inlineStr">
        <is>
          <t>MS-0182</t>
        </is>
      </c>
      <c r="B183" s="6" t="inlineStr">
        <is>
          <t>PJ-032</t>
        </is>
      </c>
      <c r="C183" s="6" t="inlineStr">
        <is>
          <t>Scaled Rollout</t>
        </is>
      </c>
      <c r="D183" s="9" t="inlineStr">
        <is>
          <t>2027-05-08</t>
        </is>
      </c>
      <c r="E183" s="9" t="inlineStr">
        <is>
          <t>2027-05-14</t>
        </is>
      </c>
      <c r="F183" s="9" t="inlineStr"/>
      <c r="G183" s="6" t="inlineStr">
        <is>
          <t>Planned</t>
        </is>
      </c>
    </row>
    <row r="184">
      <c r="A184" s="6" t="inlineStr">
        <is>
          <t>MS-0183</t>
        </is>
      </c>
      <c r="B184" s="6" t="inlineStr">
        <is>
          <t>PJ-032</t>
        </is>
      </c>
      <c r="C184" s="6" t="inlineStr">
        <is>
          <t>Benefits Review</t>
        </is>
      </c>
      <c r="D184" s="9" t="inlineStr">
        <is>
          <t>2027-08-02</t>
        </is>
      </c>
      <c r="E184" s="9" t="inlineStr">
        <is>
          <t>2027-08-08</t>
        </is>
      </c>
      <c r="F184" s="9" t="inlineStr"/>
      <c r="G184" s="6" t="inlineStr">
        <is>
          <t>Planned</t>
        </is>
      </c>
    </row>
    <row r="185">
      <c r="A185" s="6" t="inlineStr">
        <is>
          <t>MS-0184</t>
        </is>
      </c>
      <c r="B185" s="6" t="inlineStr">
        <is>
          <t>PJ-033</t>
        </is>
      </c>
      <c r="C185" s="6" t="inlineStr">
        <is>
          <t>Mandate Approved</t>
        </is>
      </c>
      <c r="D185" s="9" t="inlineStr">
        <is>
          <t>2026-08-12</t>
        </is>
      </c>
      <c r="E185" s="9" t="inlineStr">
        <is>
          <t>2026-08-12</t>
        </is>
      </c>
      <c r="F185" s="9" t="inlineStr"/>
      <c r="G185" s="6" t="inlineStr">
        <is>
          <t>Overdue</t>
        </is>
      </c>
    </row>
    <row r="186">
      <c r="A186" s="6" t="inlineStr">
        <is>
          <t>MS-0185</t>
        </is>
      </c>
      <c r="B186" s="6" t="inlineStr">
        <is>
          <t>PJ-033</t>
        </is>
      </c>
      <c r="C186" s="6" t="inlineStr">
        <is>
          <t>Counterpart Engagement Opened</t>
        </is>
      </c>
      <c r="D186" s="9" t="inlineStr">
        <is>
          <t>2026-09-19</t>
        </is>
      </c>
      <c r="E186" s="9" t="inlineStr">
        <is>
          <t>2026-09-30</t>
        </is>
      </c>
      <c r="F186" s="9" t="inlineStr"/>
      <c r="G186" s="6" t="inlineStr">
        <is>
          <t>Planned</t>
        </is>
      </c>
    </row>
    <row r="187">
      <c r="A187" s="6" t="inlineStr">
        <is>
          <t>MS-0186</t>
        </is>
      </c>
      <c r="B187" s="6" t="inlineStr">
        <is>
          <t>PJ-033</t>
        </is>
      </c>
      <c r="C187" s="6" t="inlineStr">
        <is>
          <t>Term Sheet Agreed</t>
        </is>
      </c>
      <c r="D187" s="9" t="inlineStr">
        <is>
          <t>2026-10-27</t>
        </is>
      </c>
      <c r="E187" s="9" t="inlineStr">
        <is>
          <t>2026-11-05</t>
        </is>
      </c>
      <c r="F187" s="9" t="inlineStr"/>
      <c r="G187" s="6" t="inlineStr">
        <is>
          <t>Planned</t>
        </is>
      </c>
    </row>
    <row r="188">
      <c r="A188" s="6" t="inlineStr">
        <is>
          <t>MS-0187</t>
        </is>
      </c>
      <c r="B188" s="6" t="inlineStr">
        <is>
          <t>PJ-033</t>
        </is>
      </c>
      <c r="C188" s="6" t="inlineStr">
        <is>
          <t>Cabinet / Board Approval</t>
        </is>
      </c>
      <c r="D188" s="9" t="inlineStr">
        <is>
          <t>2026-12-04</t>
        </is>
      </c>
      <c r="E188" s="9" t="inlineStr">
        <is>
          <t>2026-12-09</t>
        </is>
      </c>
      <c r="F188" s="9" t="inlineStr"/>
      <c r="G188" s="6" t="inlineStr">
        <is>
          <t>Planned</t>
        </is>
      </c>
    </row>
    <row r="189">
      <c r="A189" s="6" t="inlineStr">
        <is>
          <t>MS-0188</t>
        </is>
      </c>
      <c r="B189" s="6" t="inlineStr">
        <is>
          <t>PJ-033</t>
        </is>
      </c>
      <c r="C189" s="6" t="inlineStr">
        <is>
          <t>Ratification Complete</t>
        </is>
      </c>
      <c r="D189" s="9" t="inlineStr">
        <is>
          <t>2027-01-11</t>
        </is>
      </c>
      <c r="E189" s="9" t="inlineStr">
        <is>
          <t>2027-01-10</t>
        </is>
      </c>
      <c r="F189" s="9" t="inlineStr"/>
      <c r="G189" s="6" t="inlineStr">
        <is>
          <t>Planned</t>
        </is>
      </c>
    </row>
    <row r="190">
      <c r="A190" s="6" t="inlineStr">
        <is>
          <t>MS-0189</t>
        </is>
      </c>
      <c r="B190" s="6" t="inlineStr">
        <is>
          <t>PJ-034</t>
        </is>
      </c>
      <c r="C190" s="6" t="inlineStr">
        <is>
          <t>Architecture Baselined</t>
        </is>
      </c>
      <c r="D190" s="9" t="inlineStr">
        <is>
          <t>2025-12-09</t>
        </is>
      </c>
      <c r="E190" s="9" t="inlineStr">
        <is>
          <t>2025-12-08</t>
        </is>
      </c>
      <c r="F190" s="9" t="inlineStr">
        <is>
          <t>2025-12-08</t>
        </is>
      </c>
      <c r="G190" s="6" t="inlineStr">
        <is>
          <t>Complete</t>
        </is>
      </c>
    </row>
    <row r="191">
      <c r="A191" s="6" t="inlineStr">
        <is>
          <t>MS-0190</t>
        </is>
      </c>
      <c r="B191" s="6" t="inlineStr">
        <is>
          <t>PJ-034</t>
        </is>
      </c>
      <c r="C191" s="6" t="inlineStr">
        <is>
          <t>Data Access Agreed</t>
        </is>
      </c>
      <c r="D191" s="9" t="inlineStr">
        <is>
          <t>2026-02-07</t>
        </is>
      </c>
      <c r="E191" s="9" t="inlineStr">
        <is>
          <t>2026-03-01</t>
        </is>
      </c>
      <c r="F191" s="9" t="inlineStr"/>
      <c r="G191" s="6" t="inlineStr">
        <is>
          <t>Overdue</t>
        </is>
      </c>
    </row>
    <row r="192">
      <c r="A192" s="6" t="inlineStr">
        <is>
          <t>MS-0191</t>
        </is>
      </c>
      <c r="B192" s="6" t="inlineStr">
        <is>
          <t>PJ-034</t>
        </is>
      </c>
      <c r="C192" s="6" t="inlineStr">
        <is>
          <t>Security Accreditation</t>
        </is>
      </c>
      <c r="D192" s="9" t="inlineStr">
        <is>
          <t>2026-04-07</t>
        </is>
      </c>
      <c r="E192" s="9" t="inlineStr">
        <is>
          <t>2026-04-29</t>
        </is>
      </c>
      <c r="F192" s="9" t="inlineStr">
        <is>
          <t>2026-04-29</t>
        </is>
      </c>
      <c r="G192" s="6" t="inlineStr">
        <is>
          <t>Complete</t>
        </is>
      </c>
    </row>
    <row r="193">
      <c r="A193" s="6" t="inlineStr">
        <is>
          <t>MS-0192</t>
        </is>
      </c>
      <c r="B193" s="6" t="inlineStr">
        <is>
          <t>PJ-034</t>
        </is>
      </c>
      <c r="C193" s="6" t="inlineStr">
        <is>
          <t>Evaluation &amp; Red-Team Passed</t>
        </is>
      </c>
      <c r="D193" s="9" t="inlineStr">
        <is>
          <t>2026-06-06</t>
        </is>
      </c>
      <c r="E193" s="9" t="inlineStr">
        <is>
          <t>2026-06-07</t>
        </is>
      </c>
      <c r="F193" s="9" t="inlineStr">
        <is>
          <t>2026-06-07</t>
        </is>
      </c>
      <c r="G193" s="6" t="inlineStr">
        <is>
          <t>Complete</t>
        </is>
      </c>
    </row>
    <row r="194">
      <c r="A194" s="6" t="inlineStr">
        <is>
          <t>MS-0193</t>
        </is>
      </c>
      <c r="B194" s="6" t="inlineStr">
        <is>
          <t>PJ-034</t>
        </is>
      </c>
      <c r="C194" s="6" t="inlineStr">
        <is>
          <t>Benefits Review</t>
        </is>
      </c>
      <c r="D194" s="9" t="inlineStr">
        <is>
          <t>2026-08-04</t>
        </is>
      </c>
      <c r="E194" s="9" t="inlineStr">
        <is>
          <t>2026-08-09</t>
        </is>
      </c>
      <c r="F194" s="9" t="inlineStr">
        <is>
          <t>2026-08-09</t>
        </is>
      </c>
      <c r="G194" s="6" t="inlineStr">
        <is>
          <t>Complete</t>
        </is>
      </c>
    </row>
    <row r="195">
      <c r="A195" s="6" t="inlineStr">
        <is>
          <t>MS-0194</t>
        </is>
      </c>
      <c r="B195" s="6" t="inlineStr">
        <is>
          <t>PJ-035</t>
        </is>
      </c>
      <c r="C195" s="6" t="inlineStr">
        <is>
          <t>Data Access Agreed</t>
        </is>
      </c>
      <c r="D195" s="9" t="inlineStr">
        <is>
          <t>2024-09-14</t>
        </is>
      </c>
      <c r="E195" s="9" t="inlineStr">
        <is>
          <t>2024-09-14</t>
        </is>
      </c>
      <c r="F195" s="9" t="inlineStr">
        <is>
          <t>2024-09-14</t>
        </is>
      </c>
      <c r="G195" s="6" t="inlineStr">
        <is>
          <t>Complete</t>
        </is>
      </c>
    </row>
    <row r="196">
      <c r="A196" s="6" t="inlineStr">
        <is>
          <t>MS-0195</t>
        </is>
      </c>
      <c r="B196" s="6" t="inlineStr">
        <is>
          <t>PJ-035</t>
        </is>
      </c>
      <c r="C196" s="6" t="inlineStr">
        <is>
          <t>Security Accreditation</t>
        </is>
      </c>
      <c r="D196" s="9" t="inlineStr">
        <is>
          <t>2025-03-10</t>
        </is>
      </c>
      <c r="E196" s="9" t="inlineStr">
        <is>
          <t>2025-03-19</t>
        </is>
      </c>
      <c r="F196" s="9" t="inlineStr">
        <is>
          <t>2025-03-19</t>
        </is>
      </c>
      <c r="G196" s="6" t="inlineStr">
        <is>
          <t>Complete</t>
        </is>
      </c>
    </row>
    <row r="197">
      <c r="A197" s="6" t="inlineStr">
        <is>
          <t>MS-0196</t>
        </is>
      </c>
      <c r="B197" s="6" t="inlineStr">
        <is>
          <t>PJ-035</t>
        </is>
      </c>
      <c r="C197" s="6" t="inlineStr">
        <is>
          <t>Evaluation &amp; Red-Team Passed</t>
        </is>
      </c>
      <c r="D197" s="9" t="inlineStr">
        <is>
          <t>2025-09-03</t>
        </is>
      </c>
      <c r="E197" s="9" t="inlineStr">
        <is>
          <t>2025-09-18</t>
        </is>
      </c>
      <c r="F197" s="9" t="inlineStr">
        <is>
          <t>2025-09-18</t>
        </is>
      </c>
      <c r="G197" s="6" t="inlineStr">
        <is>
          <t>Complete</t>
        </is>
      </c>
    </row>
    <row r="198">
      <c r="A198" s="6" t="inlineStr">
        <is>
          <t>MS-0197</t>
        </is>
      </c>
      <c r="B198" s="6" t="inlineStr">
        <is>
          <t>PJ-035</t>
        </is>
      </c>
      <c r="C198" s="6" t="inlineStr">
        <is>
          <t>Benefits Review</t>
        </is>
      </c>
      <c r="D198" s="9" t="inlineStr">
        <is>
          <t>2026-02-27</t>
        </is>
      </c>
      <c r="E198" s="9" t="inlineStr">
        <is>
          <t>2026-03-18</t>
        </is>
      </c>
      <c r="F198" s="9" t="inlineStr">
        <is>
          <t>2026-03-18</t>
        </is>
      </c>
      <c r="G198" s="6" t="inlineStr">
        <is>
          <t>Complete</t>
        </is>
      </c>
    </row>
    <row r="199">
      <c r="A199" s="6" t="inlineStr">
        <is>
          <t>MS-0198</t>
        </is>
      </c>
      <c r="B199" s="6" t="inlineStr">
        <is>
          <t>PJ-036</t>
        </is>
      </c>
      <c r="C199" s="6" t="inlineStr">
        <is>
          <t>Data Access Agreed</t>
        </is>
      </c>
      <c r="D199" s="9" t="inlineStr">
        <is>
          <t>2025-11-14</t>
        </is>
      </c>
      <c r="E199" s="9" t="inlineStr">
        <is>
          <t>2025-11-20</t>
        </is>
      </c>
      <c r="F199" s="9" t="inlineStr">
        <is>
          <t>2025-11-20</t>
        </is>
      </c>
      <c r="G199" s="6" t="inlineStr">
        <is>
          <t>Complete</t>
        </is>
      </c>
    </row>
    <row r="200">
      <c r="A200" s="6" t="inlineStr">
        <is>
          <t>MS-0199</t>
        </is>
      </c>
      <c r="B200" s="6" t="inlineStr">
        <is>
          <t>PJ-036</t>
        </is>
      </c>
      <c r="C200" s="6" t="inlineStr">
        <is>
          <t>Environment Provisioned</t>
        </is>
      </c>
      <c r="D200" s="9" t="inlineStr">
        <is>
          <t>2026-01-22</t>
        </is>
      </c>
      <c r="E200" s="9" t="inlineStr">
        <is>
          <t>2026-01-17</t>
        </is>
      </c>
      <c r="F200" s="9" t="inlineStr">
        <is>
          <t>2026-01-17</t>
        </is>
      </c>
      <c r="G200" s="6" t="inlineStr">
        <is>
          <t>Complete</t>
        </is>
      </c>
    </row>
    <row r="201">
      <c r="A201" s="6" t="inlineStr">
        <is>
          <t>MS-0200</t>
        </is>
      </c>
      <c r="B201" s="6" t="inlineStr">
        <is>
          <t>PJ-036</t>
        </is>
      </c>
      <c r="C201" s="6" t="inlineStr">
        <is>
          <t>Build Complete</t>
        </is>
      </c>
      <c r="D201" s="9" t="inlineStr">
        <is>
          <t>2026-04-01</t>
        </is>
      </c>
      <c r="E201" s="9" t="inlineStr">
        <is>
          <t>2026-05-02</t>
        </is>
      </c>
      <c r="F201" s="9" t="inlineStr">
        <is>
          <t>2026-05-02</t>
        </is>
      </c>
      <c r="G201" s="6" t="inlineStr">
        <is>
          <t>Complete</t>
        </is>
      </c>
    </row>
    <row r="202">
      <c r="A202" s="6" t="inlineStr">
        <is>
          <t>MS-0201</t>
        </is>
      </c>
      <c r="B202" s="6" t="inlineStr">
        <is>
          <t>PJ-036</t>
        </is>
      </c>
      <c r="C202" s="6" t="inlineStr">
        <is>
          <t>Security Accreditation</t>
        </is>
      </c>
      <c r="D202" s="9" t="inlineStr">
        <is>
          <t>2026-06-09</t>
        </is>
      </c>
      <c r="E202" s="9" t="inlineStr">
        <is>
          <t>2026-07-11</t>
        </is>
      </c>
      <c r="F202" s="9" t="inlineStr">
        <is>
          <t>2026-07-11</t>
        </is>
      </c>
      <c r="G202" s="6" t="inlineStr">
        <is>
          <t>Complete</t>
        </is>
      </c>
    </row>
    <row r="203">
      <c r="A203" s="6" t="inlineStr">
        <is>
          <t>MS-0202</t>
        </is>
      </c>
      <c r="B203" s="6" t="inlineStr">
        <is>
          <t>PJ-036</t>
        </is>
      </c>
      <c r="C203" s="6" t="inlineStr">
        <is>
          <t>Evaluation &amp; Red-Team Passed</t>
        </is>
      </c>
      <c r="D203" s="9" t="inlineStr">
        <is>
          <t>2026-08-17</t>
        </is>
      </c>
      <c r="E203" s="9" t="inlineStr">
        <is>
          <t>2026-08-24</t>
        </is>
      </c>
      <c r="F203" s="9" t="inlineStr"/>
      <c r="G203" s="6" t="inlineStr">
        <is>
          <t>Planned</t>
        </is>
      </c>
    </row>
    <row r="204">
      <c r="A204" s="6" t="inlineStr">
        <is>
          <t>MS-0203</t>
        </is>
      </c>
      <c r="B204" s="6" t="inlineStr">
        <is>
          <t>PJ-036</t>
        </is>
      </c>
      <c r="C204" s="6" t="inlineStr">
        <is>
          <t>Production Go-Live</t>
        </is>
      </c>
      <c r="D204" s="9" t="inlineStr">
        <is>
          <t>2026-10-25</t>
        </is>
      </c>
      <c r="E204" s="9" t="inlineStr">
        <is>
          <t>2026-11-23</t>
        </is>
      </c>
      <c r="F204" s="9" t="inlineStr"/>
      <c r="G204" s="6" t="inlineStr">
        <is>
          <t>Planned</t>
        </is>
      </c>
    </row>
    <row r="205">
      <c r="A205" s="6" t="inlineStr">
        <is>
          <t>MS-0204</t>
        </is>
      </c>
      <c r="B205" s="6" t="inlineStr">
        <is>
          <t>PJ-037</t>
        </is>
      </c>
      <c r="C205" s="6" t="inlineStr">
        <is>
          <t>Architecture Baselined</t>
        </is>
      </c>
      <c r="D205" s="9" t="inlineStr">
        <is>
          <t>2026-02-15</t>
        </is>
      </c>
      <c r="E205" s="9" t="inlineStr">
        <is>
          <t>2026-02-25</t>
        </is>
      </c>
      <c r="F205" s="9" t="inlineStr">
        <is>
          <t>2026-02-25</t>
        </is>
      </c>
      <c r="G205" s="6" t="inlineStr">
        <is>
          <t>Complete</t>
        </is>
      </c>
    </row>
    <row r="206">
      <c r="A206" s="6" t="inlineStr">
        <is>
          <t>MS-0205</t>
        </is>
      </c>
      <c r="B206" s="6" t="inlineStr">
        <is>
          <t>PJ-037</t>
        </is>
      </c>
      <c r="C206" s="6" t="inlineStr">
        <is>
          <t>Environment Provisioned</t>
        </is>
      </c>
      <c r="D206" s="9" t="inlineStr">
        <is>
          <t>2026-04-28</t>
        </is>
      </c>
      <c r="E206" s="9" t="inlineStr">
        <is>
          <t>2026-05-29</t>
        </is>
      </c>
      <c r="F206" s="9" t="inlineStr"/>
      <c r="G206" s="6" t="inlineStr">
        <is>
          <t>Overdue</t>
        </is>
      </c>
    </row>
    <row r="207">
      <c r="A207" s="6" t="inlineStr">
        <is>
          <t>MS-0206</t>
        </is>
      </c>
      <c r="B207" s="6" t="inlineStr">
        <is>
          <t>PJ-037</t>
        </is>
      </c>
      <c r="C207" s="6" t="inlineStr">
        <is>
          <t>Build Complete</t>
        </is>
      </c>
      <c r="D207" s="9" t="inlineStr">
        <is>
          <t>2026-07-09</t>
        </is>
      </c>
      <c r="E207" s="9" t="inlineStr">
        <is>
          <t>2026-08-07</t>
        </is>
      </c>
      <c r="F207" s="9" t="inlineStr">
        <is>
          <t>2026-08-07</t>
        </is>
      </c>
      <c r="G207" s="6" t="inlineStr">
        <is>
          <t>Complete</t>
        </is>
      </c>
    </row>
    <row r="208">
      <c r="A208" s="6" t="inlineStr">
        <is>
          <t>MS-0207</t>
        </is>
      </c>
      <c r="B208" s="6" t="inlineStr">
        <is>
          <t>PJ-037</t>
        </is>
      </c>
      <c r="C208" s="6" t="inlineStr">
        <is>
          <t>Security Accreditation</t>
        </is>
      </c>
      <c r="D208" s="9" t="inlineStr">
        <is>
          <t>2026-09-19</t>
        </is>
      </c>
      <c r="E208" s="9" t="inlineStr">
        <is>
          <t>2026-09-29</t>
        </is>
      </c>
      <c r="F208" s="9" t="inlineStr"/>
      <c r="G208" s="6" t="inlineStr">
        <is>
          <t>Planned</t>
        </is>
      </c>
    </row>
    <row r="209">
      <c r="A209" s="6" t="inlineStr">
        <is>
          <t>MS-0208</t>
        </is>
      </c>
      <c r="B209" s="6" t="inlineStr">
        <is>
          <t>PJ-037</t>
        </is>
      </c>
      <c r="C209" s="6" t="inlineStr">
        <is>
          <t>Evaluation &amp; Red-Team Passed</t>
        </is>
      </c>
      <c r="D209" s="9" t="inlineStr">
        <is>
          <t>2026-11-30</t>
        </is>
      </c>
      <c r="E209" s="9" t="inlineStr">
        <is>
          <t>2026-11-25</t>
        </is>
      </c>
      <c r="F209" s="9" t="inlineStr"/>
      <c r="G209" s="6" t="inlineStr">
        <is>
          <t>Planned</t>
        </is>
      </c>
    </row>
    <row r="210">
      <c r="A210" s="6" t="inlineStr">
        <is>
          <t>MS-0209</t>
        </is>
      </c>
      <c r="B210" s="6" t="inlineStr">
        <is>
          <t>PJ-037</t>
        </is>
      </c>
      <c r="C210" s="6" t="inlineStr">
        <is>
          <t>Production Go-Live</t>
        </is>
      </c>
      <c r="D210" s="9" t="inlineStr">
        <is>
          <t>2027-02-10</t>
        </is>
      </c>
      <c r="E210" s="9" t="inlineStr">
        <is>
          <t>2027-02-23</t>
        </is>
      </c>
      <c r="F210" s="9" t="inlineStr"/>
      <c r="G210" s="6" t="inlineStr">
        <is>
          <t>Planned</t>
        </is>
      </c>
    </row>
    <row r="211">
      <c r="A211" s="6" t="inlineStr">
        <is>
          <t>MS-0210</t>
        </is>
      </c>
      <c r="B211" s="6" t="inlineStr">
        <is>
          <t>PJ-038</t>
        </is>
      </c>
      <c r="C211" s="6" t="inlineStr">
        <is>
          <t>Architecture Baselined</t>
        </is>
      </c>
      <c r="D211" s="9" t="inlineStr">
        <is>
          <t>2026-09-25</t>
        </is>
      </c>
      <c r="E211" s="9" t="inlineStr">
        <is>
          <t>2026-12-02</t>
        </is>
      </c>
      <c r="F211" s="9" t="inlineStr"/>
      <c r="G211" s="6" t="inlineStr">
        <is>
          <t>Planned</t>
        </is>
      </c>
    </row>
    <row r="212">
      <c r="A212" s="6" t="inlineStr">
        <is>
          <t>MS-0211</t>
        </is>
      </c>
      <c r="B212" s="6" t="inlineStr">
        <is>
          <t>PJ-038</t>
        </is>
      </c>
      <c r="C212" s="6" t="inlineStr">
        <is>
          <t>Data Access Agreed</t>
        </is>
      </c>
      <c r="D212" s="9" t="inlineStr">
        <is>
          <t>2027-01-22</t>
        </is>
      </c>
      <c r="E212" s="9" t="inlineStr">
        <is>
          <t>2027-03-26</t>
        </is>
      </c>
      <c r="F212" s="9" t="inlineStr"/>
      <c r="G212" s="6" t="inlineStr">
        <is>
          <t>Planned</t>
        </is>
      </c>
    </row>
    <row r="213">
      <c r="A213" s="6" t="inlineStr">
        <is>
          <t>MS-0212</t>
        </is>
      </c>
      <c r="B213" s="6" t="inlineStr">
        <is>
          <t>PJ-038</t>
        </is>
      </c>
      <c r="C213" s="6" t="inlineStr">
        <is>
          <t>Environment Provisioned</t>
        </is>
      </c>
      <c r="D213" s="9" t="inlineStr">
        <is>
          <t>2027-05-21</t>
        </is>
      </c>
      <c r="E213" s="9" t="inlineStr">
        <is>
          <t>2027-07-31</t>
        </is>
      </c>
      <c r="F213" s="9" t="inlineStr"/>
      <c r="G213" s="6" t="inlineStr">
        <is>
          <t>Planned</t>
        </is>
      </c>
    </row>
    <row r="214">
      <c r="A214" s="6" t="inlineStr">
        <is>
          <t>MS-0213</t>
        </is>
      </c>
      <c r="B214" s="6" t="inlineStr">
        <is>
          <t>PJ-038</t>
        </is>
      </c>
      <c r="C214" s="6" t="inlineStr">
        <is>
          <t>Build Complete</t>
        </is>
      </c>
      <c r="D214" s="9" t="inlineStr">
        <is>
          <t>2027-09-16</t>
        </is>
      </c>
      <c r="E214" s="9" t="inlineStr">
        <is>
          <t>2027-09-21</t>
        </is>
      </c>
      <c r="F214" s="9" t="inlineStr"/>
      <c r="G214" s="6" t="inlineStr">
        <is>
          <t>Planned</t>
        </is>
      </c>
    </row>
    <row r="215">
      <c r="A215" s="6" t="inlineStr">
        <is>
          <t>MS-0214</t>
        </is>
      </c>
      <c r="B215" s="6" t="inlineStr">
        <is>
          <t>PJ-038</t>
        </is>
      </c>
      <c r="C215" s="6" t="inlineStr">
        <is>
          <t>Security Accreditation</t>
        </is>
      </c>
      <c r="D215" s="9" t="inlineStr">
        <is>
          <t>2028-01-13</t>
        </is>
      </c>
      <c r="E215" s="9" t="inlineStr">
        <is>
          <t>2028-02-23</t>
        </is>
      </c>
      <c r="F215" s="9" t="inlineStr"/>
      <c r="G215" s="6" t="inlineStr">
        <is>
          <t>Planned</t>
        </is>
      </c>
    </row>
    <row r="216">
      <c r="A216" s="6" t="inlineStr">
        <is>
          <t>MS-0215</t>
        </is>
      </c>
      <c r="B216" s="6" t="inlineStr">
        <is>
          <t>PJ-038</t>
        </is>
      </c>
      <c r="C216" s="6" t="inlineStr">
        <is>
          <t>Evaluation &amp; Red-Team Passed</t>
        </is>
      </c>
      <c r="D216" s="9" t="inlineStr">
        <is>
          <t>2028-05-11</t>
        </is>
      </c>
      <c r="E216" s="9" t="inlineStr">
        <is>
          <t>2028-05-18</t>
        </is>
      </c>
      <c r="F216" s="9" t="inlineStr"/>
      <c r="G216" s="6" t="inlineStr">
        <is>
          <t>Planned</t>
        </is>
      </c>
    </row>
    <row r="217">
      <c r="A217" s="6" t="inlineStr">
        <is>
          <t>MS-0216</t>
        </is>
      </c>
      <c r="B217" s="6" t="inlineStr">
        <is>
          <t>PJ-039</t>
        </is>
      </c>
      <c r="C217" s="6" t="inlineStr">
        <is>
          <t>Business Case Approved</t>
        </is>
      </c>
      <c r="D217" s="9" t="inlineStr">
        <is>
          <t>2026-06-09</t>
        </is>
      </c>
      <c r="E217" s="9" t="inlineStr">
        <is>
          <t>2026-06-03</t>
        </is>
      </c>
      <c r="F217" s="9" t="inlineStr">
        <is>
          <t>2026-06-03</t>
        </is>
      </c>
      <c r="G217" s="6" t="inlineStr">
        <is>
          <t>Complete</t>
        </is>
      </c>
    </row>
    <row r="218">
      <c r="A218" s="6" t="inlineStr">
        <is>
          <t>MS-0217</t>
        </is>
      </c>
      <c r="B218" s="6" t="inlineStr">
        <is>
          <t>PJ-039</t>
        </is>
      </c>
      <c r="C218" s="6" t="inlineStr">
        <is>
          <t>Requirements Baselined</t>
        </is>
      </c>
      <c r="D218" s="9" t="inlineStr">
        <is>
          <t>2026-07-28</t>
        </is>
      </c>
      <c r="E218" s="9" t="inlineStr">
        <is>
          <t>2026-08-12</t>
        </is>
      </c>
      <c r="F218" s="9" t="inlineStr">
        <is>
          <t>2026-08-12</t>
        </is>
      </c>
      <c r="G218" s="6" t="inlineStr">
        <is>
          <t>Complete</t>
        </is>
      </c>
    </row>
    <row r="219">
      <c r="A219" s="6" t="inlineStr">
        <is>
          <t>MS-0218</t>
        </is>
      </c>
      <c r="B219" s="6" t="inlineStr">
        <is>
          <t>PJ-039</t>
        </is>
      </c>
      <c r="C219" s="6" t="inlineStr">
        <is>
          <t>Pilot Live</t>
        </is>
      </c>
      <c r="D219" s="9" t="inlineStr">
        <is>
          <t>2026-09-15</t>
        </is>
      </c>
      <c r="E219" s="9" t="inlineStr">
        <is>
          <t>2026-09-12</t>
        </is>
      </c>
      <c r="F219" s="9" t="inlineStr"/>
      <c r="G219" s="6" t="inlineStr">
        <is>
          <t>Planned</t>
        </is>
      </c>
    </row>
    <row r="220">
      <c r="A220" s="6" t="inlineStr">
        <is>
          <t>MS-0219</t>
        </is>
      </c>
      <c r="B220" s="6" t="inlineStr">
        <is>
          <t>PJ-039</t>
        </is>
      </c>
      <c r="C220" s="6" t="inlineStr">
        <is>
          <t>Benefits Review</t>
        </is>
      </c>
      <c r="D220" s="9" t="inlineStr">
        <is>
          <t>2026-11-03</t>
        </is>
      </c>
      <c r="E220" s="9" t="inlineStr">
        <is>
          <t>2026-10-29</t>
        </is>
      </c>
      <c r="F220" s="9" t="inlineStr"/>
      <c r="G220" s="6" t="inlineStr">
        <is>
          <t>Planned</t>
        </is>
      </c>
    </row>
    <row r="221">
      <c r="A221" s="6" t="inlineStr">
        <is>
          <t>MS-0220</t>
        </is>
      </c>
      <c r="B221" s="6" t="inlineStr">
        <is>
          <t>PJ-040</t>
        </is>
      </c>
      <c r="C221" s="6" t="inlineStr">
        <is>
          <t>Business Case Approved</t>
        </is>
      </c>
      <c r="D221" s="9" t="inlineStr">
        <is>
          <t>2026-09-01</t>
        </is>
      </c>
      <c r="E221" s="9" t="inlineStr">
        <is>
          <t>2026-10-08</t>
        </is>
      </c>
      <c r="F221" s="9" t="inlineStr"/>
      <c r="G221" s="6" t="inlineStr">
        <is>
          <t>Planned</t>
        </is>
      </c>
    </row>
    <row r="222">
      <c r="A222" s="6" t="inlineStr">
        <is>
          <t>MS-0221</t>
        </is>
      </c>
      <c r="B222" s="6" t="inlineStr">
        <is>
          <t>PJ-040</t>
        </is>
      </c>
      <c r="C222" s="6" t="inlineStr">
        <is>
          <t>Requirements Baselined</t>
        </is>
      </c>
      <c r="D222" s="9" t="inlineStr">
        <is>
          <t>2026-10-28</t>
        </is>
      </c>
      <c r="E222" s="9" t="inlineStr">
        <is>
          <t>2026-11-21</t>
        </is>
      </c>
      <c r="F222" s="9" t="inlineStr"/>
      <c r="G222" s="6" t="inlineStr">
        <is>
          <t>Planned</t>
        </is>
      </c>
    </row>
    <row r="223">
      <c r="A223" s="6" t="inlineStr">
        <is>
          <t>MS-0222</t>
        </is>
      </c>
      <c r="B223" s="6" t="inlineStr">
        <is>
          <t>PJ-040</t>
        </is>
      </c>
      <c r="C223" s="6" t="inlineStr">
        <is>
          <t>Data Sharing Agreement</t>
        </is>
      </c>
      <c r="D223" s="9" t="inlineStr">
        <is>
          <t>2026-12-24</t>
        </is>
      </c>
      <c r="E223" s="9" t="inlineStr">
        <is>
          <t>2027-01-07</t>
        </is>
      </c>
      <c r="F223" s="9" t="inlineStr"/>
      <c r="G223" s="6" t="inlineStr">
        <is>
          <t>Planned</t>
        </is>
      </c>
    </row>
    <row r="224">
      <c r="A224" s="6" t="inlineStr">
        <is>
          <t>MS-0223</t>
        </is>
      </c>
      <c r="B224" s="6" t="inlineStr">
        <is>
          <t>PJ-040</t>
        </is>
      </c>
      <c r="C224" s="6" t="inlineStr">
        <is>
          <t>Model Development Complete</t>
        </is>
      </c>
      <c r="D224" s="9" t="inlineStr">
        <is>
          <t>2027-02-18</t>
        </is>
      </c>
      <c r="E224" s="9" t="inlineStr">
        <is>
          <t>2027-03-09</t>
        </is>
      </c>
      <c r="F224" s="9" t="inlineStr"/>
      <c r="G224" s="6" t="inlineStr">
        <is>
          <t>Planned</t>
        </is>
      </c>
    </row>
    <row r="225">
      <c r="A225" s="6" t="inlineStr">
        <is>
          <t>MS-0224</t>
        </is>
      </c>
      <c r="B225" s="6" t="inlineStr">
        <is>
          <t>PJ-040</t>
        </is>
      </c>
      <c r="C225" s="6" t="inlineStr">
        <is>
          <t>Scaled Rollout</t>
        </is>
      </c>
      <c r="D225" s="9" t="inlineStr">
        <is>
          <t>2027-04-16</t>
        </is>
      </c>
      <c r="E225" s="9" t="inlineStr">
        <is>
          <t>2027-05-08</t>
        </is>
      </c>
      <c r="F225" s="9" t="inlineStr"/>
      <c r="G225" s="6" t="inlineStr">
        <is>
          <t>Planned</t>
        </is>
      </c>
    </row>
    <row r="226">
      <c r="A226" s="6" t="inlineStr">
        <is>
          <t>MS-0225</t>
        </is>
      </c>
      <c r="B226" s="6" t="inlineStr">
        <is>
          <t>PJ-040</t>
        </is>
      </c>
      <c r="C226" s="6" t="inlineStr">
        <is>
          <t>Benefits Review</t>
        </is>
      </c>
      <c r="D226" s="9" t="inlineStr">
        <is>
          <t>2027-06-12</t>
        </is>
      </c>
      <c r="E226" s="9" t="inlineStr">
        <is>
          <t>2027-06-26</t>
        </is>
      </c>
      <c r="F226" s="9" t="inlineStr"/>
      <c r="G226" s="6" t="inlineStr">
        <is>
          <t>Planned</t>
        </is>
      </c>
    </row>
    <row r="227">
      <c r="A227" s="6" t="inlineStr">
        <is>
          <t>MS-0226</t>
        </is>
      </c>
      <c r="B227" s="6" t="inlineStr">
        <is>
          <t>PJ-041</t>
        </is>
      </c>
      <c r="C227" s="6" t="inlineStr">
        <is>
          <t>Requirements Baselined</t>
        </is>
      </c>
      <c r="D227" s="9" t="inlineStr">
        <is>
          <t>2026-01-12</t>
        </is>
      </c>
      <c r="E227" s="9" t="inlineStr">
        <is>
          <t>2026-01-08</t>
        </is>
      </c>
      <c r="F227" s="9" t="inlineStr"/>
      <c r="G227" s="6" t="inlineStr">
        <is>
          <t>Overdue</t>
        </is>
      </c>
    </row>
    <row r="228">
      <c r="A228" s="6" t="inlineStr">
        <is>
          <t>MS-0227</t>
        </is>
      </c>
      <c r="B228" s="6" t="inlineStr">
        <is>
          <t>PJ-041</t>
        </is>
      </c>
      <c r="C228" s="6" t="inlineStr">
        <is>
          <t>Data Sharing Agreement</t>
        </is>
      </c>
      <c r="D228" s="9" t="inlineStr">
        <is>
          <t>2026-03-06</t>
        </is>
      </c>
      <c r="E228" s="9" t="inlineStr">
        <is>
          <t>2026-02-28</t>
        </is>
      </c>
      <c r="F228" s="9" t="inlineStr">
        <is>
          <t>2026-02-28</t>
        </is>
      </c>
      <c r="G228" s="6" t="inlineStr">
        <is>
          <t>Complete</t>
        </is>
      </c>
    </row>
    <row r="229">
      <c r="A229" s="6" t="inlineStr">
        <is>
          <t>MS-0228</t>
        </is>
      </c>
      <c r="B229" s="6" t="inlineStr">
        <is>
          <t>PJ-041</t>
        </is>
      </c>
      <c r="C229" s="6" t="inlineStr">
        <is>
          <t>Model Development Complete</t>
        </is>
      </c>
      <c r="D229" s="9" t="inlineStr">
        <is>
          <t>2026-04-28</t>
        </is>
      </c>
      <c r="E229" s="9" t="inlineStr">
        <is>
          <t>2026-04-28</t>
        </is>
      </c>
      <c r="F229" s="9" t="inlineStr">
        <is>
          <t>2026-04-28</t>
        </is>
      </c>
      <c r="G229" s="6" t="inlineStr">
        <is>
          <t>Complete</t>
        </is>
      </c>
    </row>
    <row r="230">
      <c r="A230" s="6" t="inlineStr">
        <is>
          <t>MS-0229</t>
        </is>
      </c>
      <c r="B230" s="6" t="inlineStr">
        <is>
          <t>PJ-041</t>
        </is>
      </c>
      <c r="C230" s="6" t="inlineStr">
        <is>
          <t>Pilot Live</t>
        </is>
      </c>
      <c r="D230" s="9" t="inlineStr">
        <is>
          <t>2026-06-20</t>
        </is>
      </c>
      <c r="E230" s="9" t="inlineStr">
        <is>
          <t>2026-06-25</t>
        </is>
      </c>
      <c r="F230" s="9" t="inlineStr">
        <is>
          <t>2026-06-25</t>
        </is>
      </c>
      <c r="G230" s="6" t="inlineStr">
        <is>
          <t>Complete</t>
        </is>
      </c>
    </row>
    <row r="231">
      <c r="A231" s="6" t="inlineStr">
        <is>
          <t>MS-0230</t>
        </is>
      </c>
      <c r="B231" s="6" t="inlineStr">
        <is>
          <t>PJ-041</t>
        </is>
      </c>
      <c r="C231" s="6" t="inlineStr">
        <is>
          <t>Change &amp; Training Complete</t>
        </is>
      </c>
      <c r="D231" s="9" t="inlineStr">
        <is>
          <t>2026-08-12</t>
        </is>
      </c>
      <c r="E231" s="9" t="inlineStr">
        <is>
          <t>2026-08-12</t>
        </is>
      </c>
      <c r="F231" s="9" t="inlineStr">
        <is>
          <t>2026-08-12</t>
        </is>
      </c>
      <c r="G231" s="6" t="inlineStr">
        <is>
          <t>Complete</t>
        </is>
      </c>
    </row>
    <row r="232">
      <c r="A232" s="6" t="inlineStr">
        <is>
          <t>MS-0231</t>
        </is>
      </c>
      <c r="B232" s="6" t="inlineStr">
        <is>
          <t>PJ-041</t>
        </is>
      </c>
      <c r="C232" s="6" t="inlineStr">
        <is>
          <t>Scaled Rollout</t>
        </is>
      </c>
      <c r="D232" s="9" t="inlineStr">
        <is>
          <t>2026-10-04</t>
        </is>
      </c>
      <c r="E232" s="9" t="inlineStr">
        <is>
          <t>2026-10-09</t>
        </is>
      </c>
      <c r="F232" s="9" t="inlineStr"/>
      <c r="G232" s="6" t="inlineStr">
        <is>
          <t>Planned</t>
        </is>
      </c>
    </row>
    <row r="233">
      <c r="A233" s="6" t="inlineStr">
        <is>
          <t>MS-0232</t>
        </is>
      </c>
      <c r="B233" s="6" t="inlineStr">
        <is>
          <t>PJ-041</t>
        </is>
      </c>
      <c r="C233" s="6" t="inlineStr">
        <is>
          <t>Benefits Review</t>
        </is>
      </c>
      <c r="D233" s="9" t="inlineStr">
        <is>
          <t>2026-11-26</t>
        </is>
      </c>
      <c r="E233" s="9" t="inlineStr">
        <is>
          <t>2026-12-13</t>
        </is>
      </c>
      <c r="F233" s="9" t="inlineStr"/>
      <c r="G233" s="6" t="inlineStr">
        <is>
          <t>Planned</t>
        </is>
      </c>
    </row>
    <row r="234">
      <c r="A234" s="6" t="inlineStr">
        <is>
          <t>MS-0233</t>
        </is>
      </c>
      <c r="B234" s="6" t="inlineStr">
        <is>
          <t>PJ-042</t>
        </is>
      </c>
      <c r="C234" s="6" t="inlineStr">
        <is>
          <t>Business Case Approved</t>
        </is>
      </c>
      <c r="D234" s="9" t="inlineStr">
        <is>
          <t>2025-12-28</t>
        </is>
      </c>
      <c r="E234" s="9" t="inlineStr">
        <is>
          <t>2026-01-07</t>
        </is>
      </c>
      <c r="F234" s="9" t="inlineStr">
        <is>
          <t>2026-01-07</t>
        </is>
      </c>
      <c r="G234" s="6" t="inlineStr">
        <is>
          <t>Complete</t>
        </is>
      </c>
    </row>
    <row r="235">
      <c r="A235" s="6" t="inlineStr">
        <is>
          <t>MS-0234</t>
        </is>
      </c>
      <c r="B235" s="6" t="inlineStr">
        <is>
          <t>PJ-042</t>
        </is>
      </c>
      <c r="C235" s="6" t="inlineStr">
        <is>
          <t>Requirements Baselined</t>
        </is>
      </c>
      <c r="D235" s="9" t="inlineStr">
        <is>
          <t>2026-01-27</t>
        </is>
      </c>
      <c r="E235" s="9" t="inlineStr">
        <is>
          <t>2026-02-26</t>
        </is>
      </c>
      <c r="F235" s="9" t="inlineStr">
        <is>
          <t>2026-02-26</t>
        </is>
      </c>
      <c r="G235" s="6" t="inlineStr">
        <is>
          <t>Complete</t>
        </is>
      </c>
    </row>
    <row r="236">
      <c r="A236" s="6" t="inlineStr">
        <is>
          <t>MS-0235</t>
        </is>
      </c>
      <c r="B236" s="6" t="inlineStr">
        <is>
          <t>PJ-042</t>
        </is>
      </c>
      <c r="C236" s="6" t="inlineStr">
        <is>
          <t>Data Sharing Agreement</t>
        </is>
      </c>
      <c r="D236" s="9" t="inlineStr">
        <is>
          <t>2026-02-26</t>
        </is>
      </c>
      <c r="E236" s="9" t="inlineStr">
        <is>
          <t>2026-03-09</t>
        </is>
      </c>
      <c r="F236" s="9" t="inlineStr">
        <is>
          <t>2026-03-09</t>
        </is>
      </c>
      <c r="G236" s="6" t="inlineStr">
        <is>
          <t>Complete</t>
        </is>
      </c>
    </row>
    <row r="237">
      <c r="A237" s="6" t="inlineStr">
        <is>
          <t>MS-0236</t>
        </is>
      </c>
      <c r="B237" s="6" t="inlineStr">
        <is>
          <t>PJ-042</t>
        </is>
      </c>
      <c r="C237" s="6" t="inlineStr">
        <is>
          <t>Model Development Complete</t>
        </is>
      </c>
      <c r="D237" s="9" t="inlineStr">
        <is>
          <t>2026-03-28</t>
        </is>
      </c>
      <c r="E237" s="9" t="inlineStr">
        <is>
          <t>2026-05-01</t>
        </is>
      </c>
      <c r="F237" s="9" t="inlineStr">
        <is>
          <t>2026-05-01</t>
        </is>
      </c>
      <c r="G237" s="6" t="inlineStr">
        <is>
          <t>Complete</t>
        </is>
      </c>
    </row>
    <row r="238">
      <c r="A238" s="6" t="inlineStr">
        <is>
          <t>MS-0237</t>
        </is>
      </c>
      <c r="B238" s="6" t="inlineStr">
        <is>
          <t>PJ-042</t>
        </is>
      </c>
      <c r="C238" s="6" t="inlineStr">
        <is>
          <t>Change &amp; Training Complete</t>
        </is>
      </c>
      <c r="D238" s="9" t="inlineStr">
        <is>
          <t>2026-04-26</t>
        </is>
      </c>
      <c r="E238" s="9" t="inlineStr">
        <is>
          <t>2026-05-13</t>
        </is>
      </c>
      <c r="F238" s="9" t="inlineStr"/>
      <c r="G238" s="6" t="inlineStr">
        <is>
          <t>Overdue</t>
        </is>
      </c>
    </row>
    <row r="239">
      <c r="A239" s="6" t="inlineStr">
        <is>
          <t>MS-0238</t>
        </is>
      </c>
      <c r="B239" s="6" t="inlineStr">
        <is>
          <t>PJ-042</t>
        </is>
      </c>
      <c r="C239" s="6" t="inlineStr">
        <is>
          <t>Scaled Rollout</t>
        </is>
      </c>
      <c r="D239" s="9" t="inlineStr">
        <is>
          <t>2026-05-26</t>
        </is>
      </c>
      <c r="E239" s="9" t="inlineStr">
        <is>
          <t>2026-06-15</t>
        </is>
      </c>
      <c r="F239" s="9" t="inlineStr"/>
      <c r="G239" s="6" t="inlineStr">
        <is>
          <t>Overdue</t>
        </is>
      </c>
    </row>
    <row r="240">
      <c r="A240" s="6" t="inlineStr">
        <is>
          <t>MS-0239</t>
        </is>
      </c>
      <c r="B240" s="6" t="inlineStr">
        <is>
          <t>PJ-042</t>
        </is>
      </c>
      <c r="C240" s="6" t="inlineStr">
        <is>
          <t>Benefits Review</t>
        </is>
      </c>
      <c r="D240" s="9" t="inlineStr">
        <is>
          <t>2026-06-25</t>
        </is>
      </c>
      <c r="E240" s="9" t="inlineStr">
        <is>
          <t>2026-07-11</t>
        </is>
      </c>
      <c r="F240" s="9" t="inlineStr">
        <is>
          <t>2026-07-11</t>
        </is>
      </c>
      <c r="G240" s="6" t="inlineStr">
        <is>
          <t>Complete</t>
        </is>
      </c>
    </row>
    <row r="241">
      <c r="A241" s="6" t="inlineStr">
        <is>
          <t>MS-0240</t>
        </is>
      </c>
      <c r="B241" s="6" t="inlineStr">
        <is>
          <t>PJ-043</t>
        </is>
      </c>
      <c r="C241" s="6" t="inlineStr">
        <is>
          <t>Environment Provisioned</t>
        </is>
      </c>
      <c r="D241" s="9" t="inlineStr">
        <is>
          <t>2025-08-30</t>
        </is>
      </c>
      <c r="E241" s="9" t="inlineStr">
        <is>
          <t>2025-09-15</t>
        </is>
      </c>
      <c r="F241" s="9" t="inlineStr">
        <is>
          <t>2025-09-15</t>
        </is>
      </c>
      <c r="G241" s="6" t="inlineStr">
        <is>
          <t>Complete</t>
        </is>
      </c>
    </row>
    <row r="242">
      <c r="A242" s="6" t="inlineStr">
        <is>
          <t>MS-0241</t>
        </is>
      </c>
      <c r="B242" s="6" t="inlineStr">
        <is>
          <t>PJ-043</t>
        </is>
      </c>
      <c r="C242" s="6" t="inlineStr">
        <is>
          <t>Build Complete</t>
        </is>
      </c>
      <c r="D242" s="9" t="inlineStr">
        <is>
          <t>2025-10-29</t>
        </is>
      </c>
      <c r="E242" s="9" t="inlineStr">
        <is>
          <t>2025-11-08</t>
        </is>
      </c>
      <c r="F242" s="9" t="inlineStr">
        <is>
          <t>2025-11-08</t>
        </is>
      </c>
      <c r="G242" s="6" t="inlineStr">
        <is>
          <t>Complete</t>
        </is>
      </c>
    </row>
    <row r="243">
      <c r="A243" s="6" t="inlineStr">
        <is>
          <t>MS-0242</t>
        </is>
      </c>
      <c r="B243" s="6" t="inlineStr">
        <is>
          <t>PJ-043</t>
        </is>
      </c>
      <c r="C243" s="6" t="inlineStr">
        <is>
          <t>Security Accreditation</t>
        </is>
      </c>
      <c r="D243" s="9" t="inlineStr">
        <is>
          <t>2025-12-28</t>
        </is>
      </c>
      <c r="E243" s="9" t="inlineStr">
        <is>
          <t>2026-01-05</t>
        </is>
      </c>
      <c r="F243" s="9" t="inlineStr">
        <is>
          <t>2026-01-05</t>
        </is>
      </c>
      <c r="G243" s="6" t="inlineStr">
        <is>
          <t>Complete</t>
        </is>
      </c>
    </row>
    <row r="244">
      <c r="A244" s="6" t="inlineStr">
        <is>
          <t>MS-0243</t>
        </is>
      </c>
      <c r="B244" s="6" t="inlineStr">
        <is>
          <t>PJ-043</t>
        </is>
      </c>
      <c r="C244" s="6" t="inlineStr">
        <is>
          <t>Production Go-Live</t>
        </is>
      </c>
      <c r="D244" s="9" t="inlineStr">
        <is>
          <t>2026-02-25</t>
        </is>
      </c>
      <c r="E244" s="9" t="inlineStr">
        <is>
          <t>2026-02-20</t>
        </is>
      </c>
      <c r="F244" s="9" t="inlineStr">
        <is>
          <t>2026-02-20</t>
        </is>
      </c>
      <c r="G244" s="6" t="inlineStr">
        <is>
          <t>Complete</t>
        </is>
      </c>
    </row>
    <row r="245">
      <c r="A245" s="6" t="inlineStr">
        <is>
          <t>MS-0244</t>
        </is>
      </c>
      <c r="B245" s="6" t="inlineStr">
        <is>
          <t>PJ-043</t>
        </is>
      </c>
      <c r="C245" s="6" t="inlineStr">
        <is>
          <t>Benefits Review</t>
        </is>
      </c>
      <c r="D245" s="9" t="inlineStr">
        <is>
          <t>2026-04-26</t>
        </is>
      </c>
      <c r="E245" s="9" t="inlineStr">
        <is>
          <t>2026-05-09</t>
        </is>
      </c>
      <c r="F245" s="9" t="inlineStr">
        <is>
          <t>2026-05-09</t>
        </is>
      </c>
      <c r="G245" s="6" t="inlineStr">
        <is>
          <t>Complete</t>
        </is>
      </c>
    </row>
    <row r="246">
      <c r="A246" s="6" t="inlineStr">
        <is>
          <t>MS-0245</t>
        </is>
      </c>
      <c r="B246" s="6" t="inlineStr">
        <is>
          <t>PJ-044</t>
        </is>
      </c>
      <c r="C246" s="6" t="inlineStr">
        <is>
          <t>Business Case Approved</t>
        </is>
      </c>
      <c r="D246" s="9" t="inlineStr">
        <is>
          <t>2025-08-30</t>
        </is>
      </c>
      <c r="E246" s="9" t="inlineStr">
        <is>
          <t>2025-08-24</t>
        </is>
      </c>
      <c r="F246" s="9" t="inlineStr"/>
      <c r="G246" s="6" t="inlineStr">
        <is>
          <t>Overdue</t>
        </is>
      </c>
    </row>
    <row r="247">
      <c r="A247" s="6" t="inlineStr">
        <is>
          <t>MS-0246</t>
        </is>
      </c>
      <c r="B247" s="6" t="inlineStr">
        <is>
          <t>PJ-044</t>
        </is>
      </c>
      <c r="C247" s="6" t="inlineStr">
        <is>
          <t>Requirements Baselined</t>
        </is>
      </c>
      <c r="D247" s="9" t="inlineStr">
        <is>
          <t>2025-11-04</t>
        </is>
      </c>
      <c r="E247" s="9" t="inlineStr">
        <is>
          <t>2025-11-12</t>
        </is>
      </c>
      <c r="F247" s="9" t="inlineStr">
        <is>
          <t>2025-11-12</t>
        </is>
      </c>
      <c r="G247" s="6" t="inlineStr">
        <is>
          <t>Complete</t>
        </is>
      </c>
    </row>
    <row r="248">
      <c r="A248" s="6" t="inlineStr">
        <is>
          <t>MS-0247</t>
        </is>
      </c>
      <c r="B248" s="6" t="inlineStr">
        <is>
          <t>PJ-044</t>
        </is>
      </c>
      <c r="C248" s="6" t="inlineStr">
        <is>
          <t>Data Sharing Agreement</t>
        </is>
      </c>
      <c r="D248" s="9" t="inlineStr">
        <is>
          <t>2026-01-08</t>
        </is>
      </c>
      <c r="E248" s="9" t="inlineStr">
        <is>
          <t>2026-01-25</t>
        </is>
      </c>
      <c r="F248" s="9" t="inlineStr">
        <is>
          <t>2026-01-25</t>
        </is>
      </c>
      <c r="G248" s="6" t="inlineStr">
        <is>
          <t>Complete</t>
        </is>
      </c>
    </row>
    <row r="249">
      <c r="A249" s="6" t="inlineStr">
        <is>
          <t>MS-0248</t>
        </is>
      </c>
      <c r="B249" s="6" t="inlineStr">
        <is>
          <t>PJ-044</t>
        </is>
      </c>
      <c r="C249" s="6" t="inlineStr">
        <is>
          <t>Pilot Live</t>
        </is>
      </c>
      <c r="D249" s="9" t="inlineStr">
        <is>
          <t>2026-03-15</t>
        </is>
      </c>
      <c r="E249" s="9" t="inlineStr">
        <is>
          <t>2026-03-14</t>
        </is>
      </c>
      <c r="F249" s="9" t="inlineStr"/>
      <c r="G249" s="6" t="inlineStr">
        <is>
          <t>Overdue</t>
        </is>
      </c>
    </row>
    <row r="250">
      <c r="A250" s="6" t="inlineStr">
        <is>
          <t>MS-0249</t>
        </is>
      </c>
      <c r="B250" s="6" t="inlineStr">
        <is>
          <t>PJ-044</t>
        </is>
      </c>
      <c r="C250" s="6" t="inlineStr">
        <is>
          <t>Change &amp; Training Complete</t>
        </is>
      </c>
      <c r="D250" s="9" t="inlineStr">
        <is>
          <t>2026-05-20</t>
        </is>
      </c>
      <c r="E250" s="9" t="inlineStr">
        <is>
          <t>2026-05-26</t>
        </is>
      </c>
      <c r="F250" s="9" t="inlineStr">
        <is>
          <t>2026-05-26</t>
        </is>
      </c>
      <c r="G250" s="6" t="inlineStr">
        <is>
          <t>Complete</t>
        </is>
      </c>
    </row>
    <row r="251">
      <c r="A251" s="6" t="inlineStr">
        <is>
          <t>MS-0250</t>
        </is>
      </c>
      <c r="B251" s="6" t="inlineStr">
        <is>
          <t>PJ-044</t>
        </is>
      </c>
      <c r="C251" s="6" t="inlineStr">
        <is>
          <t>Scaled Rollout</t>
        </is>
      </c>
      <c r="D251" s="9" t="inlineStr">
        <is>
          <t>2026-07-24</t>
        </is>
      </c>
      <c r="E251" s="9" t="inlineStr">
        <is>
          <t>2026-08-03</t>
        </is>
      </c>
      <c r="F251" s="9" t="inlineStr">
        <is>
          <t>2026-08-03</t>
        </is>
      </c>
      <c r="G251" s="6" t="inlineStr">
        <is>
          <t>Complete</t>
        </is>
      </c>
    </row>
    <row r="252">
      <c r="A252" s="6" t="inlineStr">
        <is>
          <t>MS-0251</t>
        </is>
      </c>
      <c r="B252" s="6" t="inlineStr">
        <is>
          <t>PJ-044</t>
        </is>
      </c>
      <c r="C252" s="6" t="inlineStr">
        <is>
          <t>Benefits Review</t>
        </is>
      </c>
      <c r="D252" s="9" t="inlineStr">
        <is>
          <t>2026-09-28</t>
        </is>
      </c>
      <c r="E252" s="9" t="inlineStr">
        <is>
          <t>2026-10-21</t>
        </is>
      </c>
      <c r="F252" s="9" t="inlineStr"/>
      <c r="G252" s="6" t="inlineStr">
        <is>
          <t>Planned</t>
        </is>
      </c>
    </row>
    <row r="253">
      <c r="A253" s="6" t="inlineStr">
        <is>
          <t>MS-0252</t>
        </is>
      </c>
      <c r="B253" s="6" t="inlineStr">
        <is>
          <t>PJ-045</t>
        </is>
      </c>
      <c r="C253" s="6" t="inlineStr">
        <is>
          <t>Data Sharing Agreement</t>
        </is>
      </c>
      <c r="D253" s="9" t="inlineStr">
        <is>
          <t>2026-01-11</t>
        </is>
      </c>
      <c r="E253" s="9" t="inlineStr">
        <is>
          <t>2026-01-25</t>
        </is>
      </c>
      <c r="F253" s="9" t="inlineStr">
        <is>
          <t>2026-01-25</t>
        </is>
      </c>
      <c r="G253" s="6" t="inlineStr">
        <is>
          <t>Complete</t>
        </is>
      </c>
    </row>
    <row r="254">
      <c r="A254" s="6" t="inlineStr">
        <is>
          <t>MS-0253</t>
        </is>
      </c>
      <c r="B254" s="6" t="inlineStr">
        <is>
          <t>PJ-045</t>
        </is>
      </c>
      <c r="C254" s="6" t="inlineStr">
        <is>
          <t>Model Development Complete</t>
        </is>
      </c>
      <c r="D254" s="9" t="inlineStr">
        <is>
          <t>2026-02-18</t>
        </is>
      </c>
      <c r="E254" s="9" t="inlineStr">
        <is>
          <t>2026-02-18</t>
        </is>
      </c>
      <c r="F254" s="9" t="inlineStr"/>
      <c r="G254" s="6" t="inlineStr">
        <is>
          <t>Overdue</t>
        </is>
      </c>
    </row>
    <row r="255">
      <c r="A255" s="6" t="inlineStr">
        <is>
          <t>MS-0254</t>
        </is>
      </c>
      <c r="B255" s="6" t="inlineStr">
        <is>
          <t>PJ-045</t>
        </is>
      </c>
      <c r="C255" s="6" t="inlineStr">
        <is>
          <t>Pilot Live</t>
        </is>
      </c>
      <c r="D255" s="9" t="inlineStr">
        <is>
          <t>2026-03-28</t>
        </is>
      </c>
      <c r="E255" s="9" t="inlineStr">
        <is>
          <t>2026-03-25</t>
        </is>
      </c>
      <c r="F255" s="9" t="inlineStr">
        <is>
          <t>2026-03-25</t>
        </is>
      </c>
      <c r="G255" s="6" t="inlineStr">
        <is>
          <t>Complete</t>
        </is>
      </c>
    </row>
    <row r="256">
      <c r="A256" s="6" t="inlineStr">
        <is>
          <t>MS-0255</t>
        </is>
      </c>
      <c r="B256" s="6" t="inlineStr">
        <is>
          <t>PJ-045</t>
        </is>
      </c>
      <c r="C256" s="6" t="inlineStr">
        <is>
          <t>Change &amp; Training Complete</t>
        </is>
      </c>
      <c r="D256" s="9" t="inlineStr">
        <is>
          <t>2026-05-04</t>
        </is>
      </c>
      <c r="E256" s="9" t="inlineStr">
        <is>
          <t>2026-05-06</t>
        </is>
      </c>
      <c r="F256" s="9" t="inlineStr"/>
      <c r="G256" s="6" t="inlineStr">
        <is>
          <t>Overdue</t>
        </is>
      </c>
    </row>
    <row r="257">
      <c r="A257" s="6" t="inlineStr">
        <is>
          <t>MS-0256</t>
        </is>
      </c>
      <c r="B257" s="6" t="inlineStr">
        <is>
          <t>PJ-045</t>
        </is>
      </c>
      <c r="C257" s="6" t="inlineStr">
        <is>
          <t>Scaled Rollout</t>
        </is>
      </c>
      <c r="D257" s="9" t="inlineStr">
        <is>
          <t>2026-06-11</t>
        </is>
      </c>
      <c r="E257" s="9" t="inlineStr">
        <is>
          <t>2026-06-13</t>
        </is>
      </c>
      <c r="F257" s="9" t="inlineStr">
        <is>
          <t>2026-06-13</t>
        </is>
      </c>
      <c r="G257" s="6" t="inlineStr">
        <is>
          <t>Complete</t>
        </is>
      </c>
    </row>
    <row r="258">
      <c r="A258" s="6" t="inlineStr">
        <is>
          <t>MS-0257</t>
        </is>
      </c>
      <c r="B258" s="6" t="inlineStr">
        <is>
          <t>PJ-045</t>
        </is>
      </c>
      <c r="C258" s="6" t="inlineStr">
        <is>
          <t>Benefits Review</t>
        </is>
      </c>
      <c r="D258" s="9" t="inlineStr">
        <is>
          <t>2026-07-19</t>
        </is>
      </c>
      <c r="E258" s="9" t="inlineStr">
        <is>
          <t>2026-07-21</t>
        </is>
      </c>
      <c r="F258" s="9" t="inlineStr">
        <is>
          <t>2026-07-21</t>
        </is>
      </c>
      <c r="G258" s="6" t="inlineStr">
        <is>
          <t>Complete</t>
        </is>
      </c>
    </row>
    <row r="259">
      <c r="A259" s="6" t="inlineStr">
        <is>
          <t>MS-0258</t>
        </is>
      </c>
      <c r="B259" s="6" t="inlineStr">
        <is>
          <t>PJ-046</t>
        </is>
      </c>
      <c r="C259" s="6" t="inlineStr">
        <is>
          <t>Architecture Baselined</t>
        </is>
      </c>
      <c r="D259" s="9" t="inlineStr">
        <is>
          <t>2026-01-05</t>
        </is>
      </c>
      <c r="E259" s="9" t="inlineStr">
        <is>
          <t>2026-01-10</t>
        </is>
      </c>
      <c r="F259" s="9" t="inlineStr">
        <is>
          <t>2026-01-10</t>
        </is>
      </c>
      <c r="G259" s="6" t="inlineStr">
        <is>
          <t>Complete</t>
        </is>
      </c>
    </row>
    <row r="260">
      <c r="A260" s="6" t="inlineStr">
        <is>
          <t>MS-0259</t>
        </is>
      </c>
      <c r="B260" s="6" t="inlineStr">
        <is>
          <t>PJ-046</t>
        </is>
      </c>
      <c r="C260" s="6" t="inlineStr">
        <is>
          <t>Environment Provisioned</t>
        </is>
      </c>
      <c r="D260" s="9" t="inlineStr">
        <is>
          <t>2026-03-21</t>
        </is>
      </c>
      <c r="E260" s="9" t="inlineStr">
        <is>
          <t>2026-03-25</t>
        </is>
      </c>
      <c r="F260" s="9" t="inlineStr"/>
      <c r="G260" s="6" t="inlineStr">
        <is>
          <t>Overdue</t>
        </is>
      </c>
    </row>
    <row r="261">
      <c r="A261" s="6" t="inlineStr">
        <is>
          <t>MS-0260</t>
        </is>
      </c>
      <c r="B261" s="6" t="inlineStr">
        <is>
          <t>PJ-046</t>
        </is>
      </c>
      <c r="C261" s="6" t="inlineStr">
        <is>
          <t>Build Complete</t>
        </is>
      </c>
      <c r="D261" s="9" t="inlineStr">
        <is>
          <t>2026-06-04</t>
        </is>
      </c>
      <c r="E261" s="9" t="inlineStr">
        <is>
          <t>2026-06-19</t>
        </is>
      </c>
      <c r="F261" s="9" t="inlineStr">
        <is>
          <t>2026-06-19</t>
        </is>
      </c>
      <c r="G261" s="6" t="inlineStr">
        <is>
          <t>Complete</t>
        </is>
      </c>
    </row>
    <row r="262">
      <c r="A262" s="6" t="inlineStr">
        <is>
          <t>MS-0261</t>
        </is>
      </c>
      <c r="B262" s="6" t="inlineStr">
        <is>
          <t>PJ-046</t>
        </is>
      </c>
      <c r="C262" s="6" t="inlineStr">
        <is>
          <t>Evaluation &amp; Red-Team Passed</t>
        </is>
      </c>
      <c r="D262" s="9" t="inlineStr">
        <is>
          <t>2026-08-18</t>
        </is>
      </c>
      <c r="E262" s="9" t="inlineStr">
        <is>
          <t>2026-09-04</t>
        </is>
      </c>
      <c r="F262" s="9" t="inlineStr"/>
      <c r="G262" s="6" t="inlineStr">
        <is>
          <t>Planned</t>
        </is>
      </c>
    </row>
    <row r="263">
      <c r="A263" s="6" t="inlineStr">
        <is>
          <t>MS-0262</t>
        </is>
      </c>
      <c r="B263" s="6" t="inlineStr">
        <is>
          <t>PJ-046</t>
        </is>
      </c>
      <c r="C263" s="6" t="inlineStr">
        <is>
          <t>Production Go-Live</t>
        </is>
      </c>
      <c r="D263" s="9" t="inlineStr">
        <is>
          <t>2026-11-01</t>
        </is>
      </c>
      <c r="E263" s="9" t="inlineStr">
        <is>
          <t>2026-11-14</t>
        </is>
      </c>
      <c r="F263" s="9" t="inlineStr"/>
      <c r="G263" s="6" t="inlineStr">
        <is>
          <t>Planned</t>
        </is>
      </c>
    </row>
    <row r="264">
      <c r="A264" s="6" t="inlineStr">
        <is>
          <t>MS-0263</t>
        </is>
      </c>
      <c r="B264" s="6" t="inlineStr">
        <is>
          <t>PJ-047</t>
        </is>
      </c>
      <c r="C264" s="6" t="inlineStr">
        <is>
          <t>Business Case Approved</t>
        </is>
      </c>
      <c r="D264" s="9" t="inlineStr">
        <is>
          <t>2026-08-11</t>
        </is>
      </c>
      <c r="E264" s="9" t="inlineStr">
        <is>
          <t>2026-08-28</t>
        </is>
      </c>
      <c r="F264" s="9" t="inlineStr"/>
      <c r="G264" s="6" t="inlineStr">
        <is>
          <t>Planned</t>
        </is>
      </c>
    </row>
    <row r="265">
      <c r="A265" s="6" t="inlineStr">
        <is>
          <t>MS-0264</t>
        </is>
      </c>
      <c r="B265" s="6" t="inlineStr">
        <is>
          <t>PJ-047</t>
        </is>
      </c>
      <c r="C265" s="6" t="inlineStr">
        <is>
          <t>Requirements Baselined</t>
        </is>
      </c>
      <c r="D265" s="9" t="inlineStr">
        <is>
          <t>2026-09-29</t>
        </is>
      </c>
      <c r="E265" s="9" t="inlineStr">
        <is>
          <t>2026-10-08</t>
        </is>
      </c>
      <c r="F265" s="9" t="inlineStr"/>
      <c r="G265" s="6" t="inlineStr">
        <is>
          <t>Planned</t>
        </is>
      </c>
    </row>
    <row r="266">
      <c r="A266" s="6" t="inlineStr">
        <is>
          <t>MS-0265</t>
        </is>
      </c>
      <c r="B266" s="6" t="inlineStr">
        <is>
          <t>PJ-047</t>
        </is>
      </c>
      <c r="C266" s="6" t="inlineStr">
        <is>
          <t>Scaled Rollout</t>
        </is>
      </c>
      <c r="D266" s="9" t="inlineStr">
        <is>
          <t>2026-11-17</t>
        </is>
      </c>
      <c r="E266" s="9" t="inlineStr">
        <is>
          <t>2026-11-25</t>
        </is>
      </c>
      <c r="F266" s="9" t="inlineStr"/>
      <c r="G266" s="6" t="inlineStr">
        <is>
          <t>Planned</t>
        </is>
      </c>
    </row>
    <row r="267">
      <c r="A267" s="6" t="inlineStr">
        <is>
          <t>MS-0266</t>
        </is>
      </c>
      <c r="B267" s="6" t="inlineStr">
        <is>
          <t>PJ-047</t>
        </is>
      </c>
      <c r="C267" s="6" t="inlineStr">
        <is>
          <t>Benefits Review</t>
        </is>
      </c>
      <c r="D267" s="9" t="inlineStr">
        <is>
          <t>2027-01-05</t>
        </is>
      </c>
      <c r="E267" s="9" t="inlineStr">
        <is>
          <t>2027-01-13</t>
        </is>
      </c>
      <c r="F267" s="9" t="inlineStr"/>
      <c r="G267" s="6" t="inlineStr">
        <is>
          <t>Planned</t>
        </is>
      </c>
    </row>
    <row r="268">
      <c r="A268" s="6" t="inlineStr">
        <is>
          <t>MS-0267</t>
        </is>
      </c>
      <c r="B268" s="6" t="inlineStr">
        <is>
          <t>PJ-048</t>
        </is>
      </c>
      <c r="C268" s="6" t="inlineStr">
        <is>
          <t>Business Case Approved</t>
        </is>
      </c>
      <c r="D268" s="9" t="inlineStr">
        <is>
          <t>2026-06-07</t>
        </is>
      </c>
      <c r="E268" s="9" t="inlineStr">
        <is>
          <t>2026-06-20</t>
        </is>
      </c>
      <c r="F268" s="9" t="inlineStr">
        <is>
          <t>2026-06-20</t>
        </is>
      </c>
      <c r="G268" s="6" t="inlineStr">
        <is>
          <t>Complete</t>
        </is>
      </c>
    </row>
    <row r="269">
      <c r="A269" s="6" t="inlineStr">
        <is>
          <t>MS-0268</t>
        </is>
      </c>
      <c r="B269" s="6" t="inlineStr">
        <is>
          <t>PJ-048</t>
        </is>
      </c>
      <c r="C269" s="6" t="inlineStr">
        <is>
          <t>Data Sharing Agreement</t>
        </is>
      </c>
      <c r="D269" s="9" t="inlineStr">
        <is>
          <t>2026-07-18</t>
        </is>
      </c>
      <c r="E269" s="9" t="inlineStr">
        <is>
          <t>2026-08-05</t>
        </is>
      </c>
      <c r="F269" s="9" t="inlineStr"/>
      <c r="G269" s="6" t="inlineStr">
        <is>
          <t>Overdue</t>
        </is>
      </c>
    </row>
    <row r="270">
      <c r="A270" s="6" t="inlineStr">
        <is>
          <t>MS-0269</t>
        </is>
      </c>
      <c r="B270" s="6" t="inlineStr">
        <is>
          <t>PJ-048</t>
        </is>
      </c>
      <c r="C270" s="6" t="inlineStr">
        <is>
          <t>Model Development Complete</t>
        </is>
      </c>
      <c r="D270" s="9" t="inlineStr">
        <is>
          <t>2026-08-29</t>
        </is>
      </c>
      <c r="E270" s="9" t="inlineStr">
        <is>
          <t>2026-09-21</t>
        </is>
      </c>
      <c r="F270" s="9" t="inlineStr"/>
      <c r="G270" s="6" t="inlineStr">
        <is>
          <t>Planned</t>
        </is>
      </c>
    </row>
    <row r="271">
      <c r="A271" s="6" t="inlineStr">
        <is>
          <t>MS-0270</t>
        </is>
      </c>
      <c r="B271" s="6" t="inlineStr">
        <is>
          <t>PJ-048</t>
        </is>
      </c>
      <c r="C271" s="6" t="inlineStr">
        <is>
          <t>Pilot Live</t>
        </is>
      </c>
      <c r="D271" s="9" t="inlineStr">
        <is>
          <t>2026-10-09</t>
        </is>
      </c>
      <c r="E271" s="9" t="inlineStr">
        <is>
          <t>2026-10-29</t>
        </is>
      </c>
      <c r="F271" s="9" t="inlineStr"/>
      <c r="G271" s="6" t="inlineStr">
        <is>
          <t>Planned</t>
        </is>
      </c>
    </row>
    <row r="272">
      <c r="A272" s="6" t="inlineStr">
        <is>
          <t>MS-0271</t>
        </is>
      </c>
      <c r="B272" s="6" t="inlineStr">
        <is>
          <t>PJ-048</t>
        </is>
      </c>
      <c r="C272" s="6" t="inlineStr">
        <is>
          <t>Change &amp; Training Complete</t>
        </is>
      </c>
      <c r="D272" s="9" t="inlineStr">
        <is>
          <t>2026-11-20</t>
        </is>
      </c>
      <c r="E272" s="9" t="inlineStr">
        <is>
          <t>2026-12-07</t>
        </is>
      </c>
      <c r="F272" s="9" t="inlineStr"/>
      <c r="G272" s="6" t="inlineStr">
        <is>
          <t>Planned</t>
        </is>
      </c>
    </row>
    <row r="273">
      <c r="A273" s="6" t="inlineStr">
        <is>
          <t>MS-0272</t>
        </is>
      </c>
      <c r="B273" s="6" t="inlineStr">
        <is>
          <t>PJ-048</t>
        </is>
      </c>
      <c r="C273" s="6" t="inlineStr">
        <is>
          <t>Scaled Rollout</t>
        </is>
      </c>
      <c r="D273" s="9" t="inlineStr">
        <is>
          <t>2026-12-31</t>
        </is>
      </c>
      <c r="E273" s="9" t="inlineStr">
        <is>
          <t>2026-12-25</t>
        </is>
      </c>
      <c r="F273" s="9" t="inlineStr"/>
      <c r="G273" s="6" t="inlineStr">
        <is>
          <t>Planned</t>
        </is>
      </c>
    </row>
    <row r="274">
      <c r="A274" s="6" t="inlineStr">
        <is>
          <t>MS-0273</t>
        </is>
      </c>
      <c r="B274" s="6" t="inlineStr">
        <is>
          <t>PJ-049</t>
        </is>
      </c>
      <c r="C274" s="6" t="inlineStr">
        <is>
          <t>Requirements Baselined</t>
        </is>
      </c>
      <c r="D274" s="9" t="inlineStr">
        <is>
          <t>2026-06-08</t>
        </is>
      </c>
      <c r="E274" s="9" t="inlineStr">
        <is>
          <t>2026-06-17</t>
        </is>
      </c>
      <c r="F274" s="9" t="inlineStr">
        <is>
          <t>2026-06-17</t>
        </is>
      </c>
      <c r="G274" s="6" t="inlineStr">
        <is>
          <t>Complete</t>
        </is>
      </c>
    </row>
    <row r="275">
      <c r="A275" s="6" t="inlineStr">
        <is>
          <t>MS-0274</t>
        </is>
      </c>
      <c r="B275" s="6" t="inlineStr">
        <is>
          <t>PJ-049</t>
        </is>
      </c>
      <c r="C275" s="6" t="inlineStr">
        <is>
          <t>Model Development Complete</t>
        </is>
      </c>
      <c r="D275" s="9" t="inlineStr">
        <is>
          <t>2026-07-12</t>
        </is>
      </c>
      <c r="E275" s="9" t="inlineStr">
        <is>
          <t>2026-07-29</t>
        </is>
      </c>
      <c r="F275" s="9" t="inlineStr">
        <is>
          <t>2026-07-29</t>
        </is>
      </c>
      <c r="G275" s="6" t="inlineStr">
        <is>
          <t>Complete</t>
        </is>
      </c>
    </row>
    <row r="276">
      <c r="A276" s="6" t="inlineStr">
        <is>
          <t>MS-0275</t>
        </is>
      </c>
      <c r="B276" s="6" t="inlineStr">
        <is>
          <t>PJ-049</t>
        </is>
      </c>
      <c r="C276" s="6" t="inlineStr">
        <is>
          <t>Scaled Rollout</t>
        </is>
      </c>
      <c r="D276" s="9" t="inlineStr">
        <is>
          <t>2026-08-15</t>
        </is>
      </c>
      <c r="E276" s="9" t="inlineStr">
        <is>
          <t>2026-08-09</t>
        </is>
      </c>
      <c r="F276" s="9" t="inlineStr">
        <is>
          <t>2026-08-09</t>
        </is>
      </c>
      <c r="G276" s="6" t="inlineStr">
        <is>
          <t>Complete</t>
        </is>
      </c>
    </row>
    <row r="277">
      <c r="A277" s="6" t="inlineStr">
        <is>
          <t>MS-0276</t>
        </is>
      </c>
      <c r="B277" s="6" t="inlineStr">
        <is>
          <t>PJ-049</t>
        </is>
      </c>
      <c r="C277" s="6" t="inlineStr">
        <is>
          <t>Benefits Review</t>
        </is>
      </c>
      <c r="D277" s="9" t="inlineStr">
        <is>
          <t>2026-09-18</t>
        </is>
      </c>
      <c r="E277" s="9" t="inlineStr">
        <is>
          <t>2026-10-10</t>
        </is>
      </c>
      <c r="F277" s="9" t="inlineStr"/>
      <c r="G277" s="6" t="inlineStr">
        <is>
          <t>Planned</t>
        </is>
      </c>
    </row>
    <row r="278">
      <c r="A278" s="6" t="inlineStr">
        <is>
          <t>MS-0277</t>
        </is>
      </c>
      <c r="B278" s="6" t="inlineStr">
        <is>
          <t>PJ-050</t>
        </is>
      </c>
      <c r="C278" s="6" t="inlineStr">
        <is>
          <t>Model Development Complete</t>
        </is>
      </c>
      <c r="D278" s="9" t="inlineStr">
        <is>
          <t>2025-09-06</t>
        </is>
      </c>
      <c r="E278" s="9" t="inlineStr">
        <is>
          <t>2025-09-02</t>
        </is>
      </c>
      <c r="F278" s="9" t="inlineStr">
        <is>
          <t>2025-09-02</t>
        </is>
      </c>
      <c r="G278" s="6" t="inlineStr">
        <is>
          <t>Complete</t>
        </is>
      </c>
    </row>
    <row r="279">
      <c r="A279" s="6" t="inlineStr">
        <is>
          <t>MS-0278</t>
        </is>
      </c>
      <c r="B279" s="6" t="inlineStr">
        <is>
          <t>PJ-050</t>
        </is>
      </c>
      <c r="C279" s="6" t="inlineStr">
        <is>
          <t>Change &amp; Training Complete</t>
        </is>
      </c>
      <c r="D279" s="9" t="inlineStr">
        <is>
          <t>2025-12-18</t>
        </is>
      </c>
      <c r="E279" s="9" t="inlineStr">
        <is>
          <t>2025-12-17</t>
        </is>
      </c>
      <c r="F279" s="9" t="inlineStr">
        <is>
          <t>2025-12-17</t>
        </is>
      </c>
      <c r="G279" s="6" t="inlineStr">
        <is>
          <t>Complete</t>
        </is>
      </c>
    </row>
    <row r="280">
      <c r="A280" s="6" t="inlineStr">
        <is>
          <t>MS-0279</t>
        </is>
      </c>
      <c r="B280" s="6" t="inlineStr">
        <is>
          <t>PJ-050</t>
        </is>
      </c>
      <c r="C280" s="6" t="inlineStr">
        <is>
          <t>Scaled Rollout</t>
        </is>
      </c>
      <c r="D280" s="9" t="inlineStr">
        <is>
          <t>2026-03-31</t>
        </is>
      </c>
      <c r="E280" s="9" t="inlineStr">
        <is>
          <t>2026-04-03</t>
        </is>
      </c>
      <c r="F280" s="9" t="inlineStr">
        <is>
          <t>2026-04-03</t>
        </is>
      </c>
      <c r="G280" s="6" t="inlineStr">
        <is>
          <t>Complete</t>
        </is>
      </c>
    </row>
    <row r="281">
      <c r="A281" s="6" t="inlineStr">
        <is>
          <t>MS-0280</t>
        </is>
      </c>
      <c r="B281" s="6" t="inlineStr">
        <is>
          <t>PJ-050</t>
        </is>
      </c>
      <c r="C281" s="6" t="inlineStr">
        <is>
          <t>Benefits Review</t>
        </is>
      </c>
      <c r="D281" s="9" t="inlineStr">
        <is>
          <t>2026-07-12</t>
        </is>
      </c>
      <c r="E281" s="9" t="inlineStr">
        <is>
          <t>2026-07-21</t>
        </is>
      </c>
      <c r="F281" s="9" t="inlineStr">
        <is>
          <t>2026-07-21</t>
        </is>
      </c>
      <c r="G281" s="6" t="inlineStr">
        <is>
          <t>Complete</t>
        </is>
      </c>
    </row>
    <row r="282">
      <c r="A282" s="6" t="inlineStr">
        <is>
          <t>MS-0281</t>
        </is>
      </c>
      <c r="B282" s="6" t="inlineStr">
        <is>
          <t>PJ-051</t>
        </is>
      </c>
      <c r="C282" s="6" t="inlineStr">
        <is>
          <t>Business Case Approved</t>
        </is>
      </c>
      <c r="D282" s="9" t="inlineStr">
        <is>
          <t>2026-03-10</t>
        </is>
      </c>
      <c r="E282" s="9" t="inlineStr">
        <is>
          <t>2026-03-14</t>
        </is>
      </c>
      <c r="F282" s="9" t="inlineStr"/>
      <c r="G282" s="6" t="inlineStr">
        <is>
          <t>Overdue</t>
        </is>
      </c>
    </row>
    <row r="283">
      <c r="A283" s="6" t="inlineStr">
        <is>
          <t>MS-0282</t>
        </is>
      </c>
      <c r="B283" s="6" t="inlineStr">
        <is>
          <t>PJ-051</t>
        </is>
      </c>
      <c r="C283" s="6" t="inlineStr">
        <is>
          <t>Requirements Baselined</t>
        </is>
      </c>
      <c r="D283" s="9" t="inlineStr">
        <is>
          <t>2026-05-15</t>
        </is>
      </c>
      <c r="E283" s="9" t="inlineStr">
        <is>
          <t>2026-05-18</t>
        </is>
      </c>
      <c r="F283" s="9" t="inlineStr">
        <is>
          <t>2026-05-18</t>
        </is>
      </c>
      <c r="G283" s="6" t="inlineStr">
        <is>
          <t>Complete</t>
        </is>
      </c>
    </row>
    <row r="284">
      <c r="A284" s="6" t="inlineStr">
        <is>
          <t>MS-0283</t>
        </is>
      </c>
      <c r="B284" s="6" t="inlineStr">
        <is>
          <t>PJ-051</t>
        </is>
      </c>
      <c r="C284" s="6" t="inlineStr">
        <is>
          <t>Data Sharing Agreement</t>
        </is>
      </c>
      <c r="D284" s="9" t="inlineStr">
        <is>
          <t>2026-07-20</t>
        </is>
      </c>
      <c r="E284" s="9" t="inlineStr">
        <is>
          <t>2026-07-15</t>
        </is>
      </c>
      <c r="F284" s="9" t="inlineStr">
        <is>
          <t>2026-07-15</t>
        </is>
      </c>
      <c r="G284" s="6" t="inlineStr">
        <is>
          <t>Complete</t>
        </is>
      </c>
    </row>
    <row r="285">
      <c r="A285" s="6" t="inlineStr">
        <is>
          <t>MS-0284</t>
        </is>
      </c>
      <c r="B285" s="6" t="inlineStr">
        <is>
          <t>PJ-051</t>
        </is>
      </c>
      <c r="C285" s="6" t="inlineStr">
        <is>
          <t>Model Development Complete</t>
        </is>
      </c>
      <c r="D285" s="9" t="inlineStr">
        <is>
          <t>2026-09-24</t>
        </is>
      </c>
      <c r="E285" s="9" t="inlineStr">
        <is>
          <t>2026-09-27</t>
        </is>
      </c>
      <c r="F285" s="9" t="inlineStr"/>
      <c r="G285" s="6" t="inlineStr">
        <is>
          <t>Planned</t>
        </is>
      </c>
    </row>
    <row r="286">
      <c r="A286" s="6" t="inlineStr">
        <is>
          <t>MS-0285</t>
        </is>
      </c>
      <c r="B286" s="6" t="inlineStr">
        <is>
          <t>PJ-051</t>
        </is>
      </c>
      <c r="C286" s="6" t="inlineStr">
        <is>
          <t>Change &amp; Training Complete</t>
        </is>
      </c>
      <c r="D286" s="9" t="inlineStr">
        <is>
          <t>2026-11-29</t>
        </is>
      </c>
      <c r="E286" s="9" t="inlineStr">
        <is>
          <t>2026-11-30</t>
        </is>
      </c>
      <c r="F286" s="9" t="inlineStr"/>
      <c r="G286" s="6" t="inlineStr">
        <is>
          <t>Planned</t>
        </is>
      </c>
    </row>
    <row r="287">
      <c r="A287" s="6" t="inlineStr">
        <is>
          <t>MS-0286</t>
        </is>
      </c>
      <c r="B287" s="6" t="inlineStr">
        <is>
          <t>PJ-051</t>
        </is>
      </c>
      <c r="C287" s="6" t="inlineStr">
        <is>
          <t>Scaled Rollout</t>
        </is>
      </c>
      <c r="D287" s="9" t="inlineStr">
        <is>
          <t>2027-02-03</t>
        </is>
      </c>
      <c r="E287" s="9" t="inlineStr">
        <is>
          <t>2027-02-04</t>
        </is>
      </c>
      <c r="F287" s="9" t="inlineStr"/>
      <c r="G287" s="6" t="inlineStr">
        <is>
          <t>Planned</t>
        </is>
      </c>
    </row>
    <row r="288">
      <c r="A288" s="6" t="inlineStr">
        <is>
          <t>MS-0287</t>
        </is>
      </c>
      <c r="B288" s="6" t="inlineStr">
        <is>
          <t>PJ-052</t>
        </is>
      </c>
      <c r="C288" s="6" t="inlineStr">
        <is>
          <t>Data Sharing Agreement</t>
        </is>
      </c>
      <c r="D288" s="9" t="inlineStr">
        <is>
          <t>2026-08-24</t>
        </is>
      </c>
      <c r="E288" s="9" t="inlineStr">
        <is>
          <t>2026-09-03</t>
        </is>
      </c>
      <c r="F288" s="9" t="inlineStr"/>
      <c r="G288" s="6" t="inlineStr">
        <is>
          <t>Planned</t>
        </is>
      </c>
    </row>
    <row r="289">
      <c r="A289" s="6" t="inlineStr">
        <is>
          <t>MS-0288</t>
        </is>
      </c>
      <c r="B289" s="6" t="inlineStr">
        <is>
          <t>PJ-052</t>
        </is>
      </c>
      <c r="C289" s="6" t="inlineStr">
        <is>
          <t>Model Development Complete</t>
        </is>
      </c>
      <c r="D289" s="9" t="inlineStr">
        <is>
          <t>2026-11-14</t>
        </is>
      </c>
      <c r="E289" s="9" t="inlineStr">
        <is>
          <t>2026-11-08</t>
        </is>
      </c>
      <c r="F289" s="9" t="inlineStr"/>
      <c r="G289" s="6" t="inlineStr">
        <is>
          <t>Planned</t>
        </is>
      </c>
    </row>
    <row r="290">
      <c r="A290" s="6" t="inlineStr">
        <is>
          <t>MS-0289</t>
        </is>
      </c>
      <c r="B290" s="6" t="inlineStr">
        <is>
          <t>PJ-052</t>
        </is>
      </c>
      <c r="C290" s="6" t="inlineStr">
        <is>
          <t>Pilot Live</t>
        </is>
      </c>
      <c r="D290" s="9" t="inlineStr">
        <is>
          <t>2027-02-04</t>
        </is>
      </c>
      <c r="E290" s="9" t="inlineStr">
        <is>
          <t>2027-02-19</t>
        </is>
      </c>
      <c r="F290" s="9" t="inlineStr"/>
      <c r="G290" s="6" t="inlineStr">
        <is>
          <t>Planned</t>
        </is>
      </c>
    </row>
    <row r="291">
      <c r="A291" s="6" t="inlineStr">
        <is>
          <t>MS-0290</t>
        </is>
      </c>
      <c r="B291" s="6" t="inlineStr">
        <is>
          <t>PJ-052</t>
        </is>
      </c>
      <c r="C291" s="6" t="inlineStr">
        <is>
          <t>Change &amp; Training Complete</t>
        </is>
      </c>
      <c r="D291" s="9" t="inlineStr">
        <is>
          <t>2027-04-27</t>
        </is>
      </c>
      <c r="E291" s="9" t="inlineStr">
        <is>
          <t>2027-05-13</t>
        </is>
      </c>
      <c r="F291" s="9" t="inlineStr"/>
      <c r="G291" s="6" t="inlineStr">
        <is>
          <t>Planned</t>
        </is>
      </c>
    </row>
    <row r="292">
      <c r="A292" s="6" t="inlineStr">
        <is>
          <t>MS-0291</t>
        </is>
      </c>
      <c r="B292" s="6" t="inlineStr">
        <is>
          <t>PJ-052</t>
        </is>
      </c>
      <c r="C292" s="6" t="inlineStr">
        <is>
          <t>Benefits Review</t>
        </is>
      </c>
      <c r="D292" s="9" t="inlineStr">
        <is>
          <t>2027-07-18</t>
        </is>
      </c>
      <c r="E292" s="9" t="inlineStr">
        <is>
          <t>2027-07-22</t>
        </is>
      </c>
      <c r="F292" s="9" t="inlineStr"/>
      <c r="G292" s="6" t="inlineStr">
        <is>
          <t>Planned</t>
        </is>
      </c>
    </row>
    <row r="293">
      <c r="A293" s="6" t="inlineStr">
        <is>
          <t>MS-0292</t>
        </is>
      </c>
      <c r="B293" s="6" t="inlineStr">
        <is>
          <t>PJ-053</t>
        </is>
      </c>
      <c r="C293" s="6" t="inlineStr">
        <is>
          <t>Business Case Approved</t>
        </is>
      </c>
      <c r="D293" s="9" t="inlineStr">
        <is>
          <t>2025-12-12</t>
        </is>
      </c>
      <c r="E293" s="9" t="inlineStr">
        <is>
          <t>2025-12-31</t>
        </is>
      </c>
      <c r="F293" s="9" t="inlineStr">
        <is>
          <t>2025-12-31</t>
        </is>
      </c>
      <c r="G293" s="6" t="inlineStr">
        <is>
          <t>Complete</t>
        </is>
      </c>
    </row>
    <row r="294">
      <c r="A294" s="6" t="inlineStr">
        <is>
          <t>MS-0293</t>
        </is>
      </c>
      <c r="B294" s="6" t="inlineStr">
        <is>
          <t>PJ-053</t>
        </is>
      </c>
      <c r="C294" s="6" t="inlineStr">
        <is>
          <t>Data Sharing Agreement</t>
        </is>
      </c>
      <c r="D294" s="9" t="inlineStr">
        <is>
          <t>2026-03-22</t>
        </is>
      </c>
      <c r="E294" s="9" t="inlineStr">
        <is>
          <t>2026-03-25</t>
        </is>
      </c>
      <c r="F294" s="9" t="inlineStr">
        <is>
          <t>2026-03-25</t>
        </is>
      </c>
      <c r="G294" s="6" t="inlineStr">
        <is>
          <t>Complete</t>
        </is>
      </c>
    </row>
    <row r="295">
      <c r="A295" s="6" t="inlineStr">
        <is>
          <t>MS-0294</t>
        </is>
      </c>
      <c r="B295" s="6" t="inlineStr">
        <is>
          <t>PJ-053</t>
        </is>
      </c>
      <c r="C295" s="6" t="inlineStr">
        <is>
          <t>Model Development Complete</t>
        </is>
      </c>
      <c r="D295" s="9" t="inlineStr">
        <is>
          <t>2026-06-30</t>
        </is>
      </c>
      <c r="E295" s="9" t="inlineStr">
        <is>
          <t>2026-07-26</t>
        </is>
      </c>
      <c r="F295" s="9" t="inlineStr">
        <is>
          <t>2026-07-26</t>
        </is>
      </c>
      <c r="G295" s="6" t="inlineStr">
        <is>
          <t>Complete</t>
        </is>
      </c>
    </row>
    <row r="296">
      <c r="A296" s="6" t="inlineStr">
        <is>
          <t>MS-0295</t>
        </is>
      </c>
      <c r="B296" s="6" t="inlineStr">
        <is>
          <t>PJ-053</t>
        </is>
      </c>
      <c r="C296" s="6" t="inlineStr">
        <is>
          <t>Benefits Review</t>
        </is>
      </c>
      <c r="D296" s="9" t="inlineStr">
        <is>
          <t>2026-10-08</t>
        </is>
      </c>
      <c r="E296" s="9" t="inlineStr">
        <is>
          <t>2026-10-09</t>
        </is>
      </c>
      <c r="F296" s="9" t="inlineStr"/>
      <c r="G296" s="6" t="inlineStr">
        <is>
          <t>Planned</t>
        </is>
      </c>
    </row>
    <row r="297">
      <c r="A297" s="6" t="inlineStr">
        <is>
          <t>MS-0296</t>
        </is>
      </c>
      <c r="B297" s="6" t="inlineStr">
        <is>
          <t>PJ-054</t>
        </is>
      </c>
      <c r="C297" s="6" t="inlineStr">
        <is>
          <t>Business Case Approved</t>
        </is>
      </c>
      <c r="D297" s="9" t="inlineStr">
        <is>
          <t>2025-10-04</t>
        </is>
      </c>
      <c r="E297" s="9" t="inlineStr">
        <is>
          <t>2025-10-11</t>
        </is>
      </c>
      <c r="F297" s="9" t="inlineStr">
        <is>
          <t>2025-10-11</t>
        </is>
      </c>
      <c r="G297" s="6" t="inlineStr">
        <is>
          <t>Complete</t>
        </is>
      </c>
    </row>
    <row r="298">
      <c r="A298" s="6" t="inlineStr">
        <is>
          <t>MS-0297</t>
        </is>
      </c>
      <c r="B298" s="6" t="inlineStr">
        <is>
          <t>PJ-054</t>
        </is>
      </c>
      <c r="C298" s="6" t="inlineStr">
        <is>
          <t>Requirements Baselined</t>
        </is>
      </c>
      <c r="D298" s="9" t="inlineStr">
        <is>
          <t>2026-01-11</t>
        </is>
      </c>
      <c r="E298" s="9" t="inlineStr">
        <is>
          <t>2026-01-24</t>
        </is>
      </c>
      <c r="F298" s="9" t="inlineStr">
        <is>
          <t>2026-01-24</t>
        </is>
      </c>
      <c r="G298" s="6" t="inlineStr">
        <is>
          <t>Complete</t>
        </is>
      </c>
    </row>
    <row r="299">
      <c r="A299" s="6" t="inlineStr">
        <is>
          <t>MS-0298</t>
        </is>
      </c>
      <c r="B299" s="6" t="inlineStr">
        <is>
          <t>PJ-054</t>
        </is>
      </c>
      <c r="C299" s="6" t="inlineStr">
        <is>
          <t>Data Sharing Agreement</t>
        </is>
      </c>
      <c r="D299" s="9" t="inlineStr">
        <is>
          <t>2026-04-20</t>
        </is>
      </c>
      <c r="E299" s="9" t="inlineStr">
        <is>
          <t>2026-05-02</t>
        </is>
      </c>
      <c r="F299" s="9" t="inlineStr">
        <is>
          <t>2026-05-02</t>
        </is>
      </c>
      <c r="G299" s="6" t="inlineStr">
        <is>
          <t>Complete</t>
        </is>
      </c>
    </row>
    <row r="300">
      <c r="A300" s="6" t="inlineStr">
        <is>
          <t>MS-0299</t>
        </is>
      </c>
      <c r="B300" s="6" t="inlineStr">
        <is>
          <t>PJ-054</t>
        </is>
      </c>
      <c r="C300" s="6" t="inlineStr">
        <is>
          <t>Change &amp; Training Complete</t>
        </is>
      </c>
      <c r="D300" s="9" t="inlineStr">
        <is>
          <t>2026-07-28</t>
        </is>
      </c>
      <c r="E300" s="9" t="inlineStr">
        <is>
          <t>2026-07-26</t>
        </is>
      </c>
      <c r="F300" s="9" t="inlineStr">
        <is>
          <t>2026-07-26</t>
        </is>
      </c>
      <c r="G300" s="6" t="inlineStr">
        <is>
          <t>Complete</t>
        </is>
      </c>
    </row>
    <row r="301">
      <c r="A301" s="6" t="inlineStr">
        <is>
          <t>MS-0300</t>
        </is>
      </c>
      <c r="B301" s="6" t="inlineStr">
        <is>
          <t>PJ-055</t>
        </is>
      </c>
      <c r="C301" s="6" t="inlineStr">
        <is>
          <t>Business Case Approved</t>
        </is>
      </c>
      <c r="D301" s="9" t="inlineStr">
        <is>
          <t>2026-03-04</t>
        </is>
      </c>
      <c r="E301" s="9" t="inlineStr">
        <is>
          <t>2026-03-16</t>
        </is>
      </c>
      <c r="F301" s="9" t="inlineStr">
        <is>
          <t>2026-03-16</t>
        </is>
      </c>
      <c r="G301" s="6" t="inlineStr">
        <is>
          <t>Complete</t>
        </is>
      </c>
    </row>
    <row r="302">
      <c r="A302" s="6" t="inlineStr">
        <is>
          <t>MS-0301</t>
        </is>
      </c>
      <c r="B302" s="6" t="inlineStr">
        <is>
          <t>PJ-055</t>
        </is>
      </c>
      <c r="C302" s="6" t="inlineStr">
        <is>
          <t>Requirements Baselined</t>
        </is>
      </c>
      <c r="D302" s="9" t="inlineStr">
        <is>
          <t>2026-05-04</t>
        </is>
      </c>
      <c r="E302" s="9" t="inlineStr">
        <is>
          <t>2026-05-21</t>
        </is>
      </c>
      <c r="F302" s="9" t="inlineStr"/>
      <c r="G302" s="6" t="inlineStr">
        <is>
          <t>Overdue</t>
        </is>
      </c>
    </row>
    <row r="303">
      <c r="A303" s="6" t="inlineStr">
        <is>
          <t>MS-0302</t>
        </is>
      </c>
      <c r="B303" s="6" t="inlineStr">
        <is>
          <t>PJ-055</t>
        </is>
      </c>
      <c r="C303" s="6" t="inlineStr">
        <is>
          <t>Data Sharing Agreement</t>
        </is>
      </c>
      <c r="D303" s="9" t="inlineStr">
        <is>
          <t>2026-07-04</t>
        </is>
      </c>
      <c r="E303" s="9" t="inlineStr">
        <is>
          <t>2026-07-19</t>
        </is>
      </c>
      <c r="F303" s="9" t="inlineStr">
        <is>
          <t>2026-07-19</t>
        </is>
      </c>
      <c r="G303" s="6" t="inlineStr">
        <is>
          <t>Complete</t>
        </is>
      </c>
    </row>
    <row r="304">
      <c r="A304" s="6" t="inlineStr">
        <is>
          <t>MS-0303</t>
        </is>
      </c>
      <c r="B304" s="6" t="inlineStr">
        <is>
          <t>PJ-055</t>
        </is>
      </c>
      <c r="C304" s="6" t="inlineStr">
        <is>
          <t>Change &amp; Training Complete</t>
        </is>
      </c>
      <c r="D304" s="9" t="inlineStr">
        <is>
          <t>2026-09-03</t>
        </is>
      </c>
      <c r="E304" s="9" t="inlineStr">
        <is>
          <t>2026-09-02</t>
        </is>
      </c>
      <c r="F304" s="9" t="inlineStr"/>
      <c r="G304" s="6" t="inlineStr">
        <is>
          <t>Planned</t>
        </is>
      </c>
    </row>
    <row r="305">
      <c r="A305" s="6" t="inlineStr">
        <is>
          <t>MS-0304</t>
        </is>
      </c>
      <c r="B305" s="6" t="inlineStr">
        <is>
          <t>PJ-055</t>
        </is>
      </c>
      <c r="C305" s="6" t="inlineStr">
        <is>
          <t>Scaled Rollout</t>
        </is>
      </c>
      <c r="D305" s="9" t="inlineStr">
        <is>
          <t>2026-11-03</t>
        </is>
      </c>
      <c r="E305" s="9" t="inlineStr">
        <is>
          <t>2026-11-16</t>
        </is>
      </c>
      <c r="F305" s="9" t="inlineStr"/>
      <c r="G305" s="6" t="inlineStr">
        <is>
          <t>Planned</t>
        </is>
      </c>
    </row>
    <row r="306">
      <c r="A306" s="6" t="inlineStr">
        <is>
          <t>MS-0305</t>
        </is>
      </c>
      <c r="B306" s="6" t="inlineStr">
        <is>
          <t>PJ-055</t>
        </is>
      </c>
      <c r="C306" s="6" t="inlineStr">
        <is>
          <t>Benefits Review</t>
        </is>
      </c>
      <c r="D306" s="9" t="inlineStr">
        <is>
          <t>2027-01-03</t>
        </is>
      </c>
      <c r="E306" s="9" t="inlineStr">
        <is>
          <t>2027-01-13</t>
        </is>
      </c>
      <c r="F306" s="9" t="inlineStr"/>
      <c r="G306" s="6" t="inlineStr">
        <is>
          <t>Planned</t>
        </is>
      </c>
    </row>
    <row r="307">
      <c r="A307" s="6" t="inlineStr">
        <is>
          <t>MS-0306</t>
        </is>
      </c>
      <c r="B307" s="6" t="inlineStr">
        <is>
          <t>PJ-056</t>
        </is>
      </c>
      <c r="C307" s="6" t="inlineStr">
        <is>
          <t>Architecture Baselined</t>
        </is>
      </c>
      <c r="D307" s="9" t="inlineStr">
        <is>
          <t>2026-03-01</t>
        </is>
      </c>
      <c r="E307" s="9" t="inlineStr">
        <is>
          <t>2026-03-04</t>
        </is>
      </c>
      <c r="F307" s="9" t="inlineStr">
        <is>
          <t>2026-03-04</t>
        </is>
      </c>
      <c r="G307" s="6" t="inlineStr">
        <is>
          <t>Complete</t>
        </is>
      </c>
    </row>
    <row r="308">
      <c r="A308" s="6" t="inlineStr">
        <is>
          <t>MS-0307</t>
        </is>
      </c>
      <c r="B308" s="6" t="inlineStr">
        <is>
          <t>PJ-056</t>
        </is>
      </c>
      <c r="C308" s="6" t="inlineStr">
        <is>
          <t>Data Access Agreed</t>
        </is>
      </c>
      <c r="D308" s="9" t="inlineStr">
        <is>
          <t>2026-05-28</t>
        </is>
      </c>
      <c r="E308" s="9" t="inlineStr">
        <is>
          <t>2026-06-08</t>
        </is>
      </c>
      <c r="F308" s="9" t="inlineStr">
        <is>
          <t>2026-06-08</t>
        </is>
      </c>
      <c r="G308" s="6" t="inlineStr">
        <is>
          <t>Complete</t>
        </is>
      </c>
    </row>
    <row r="309">
      <c r="A309" s="6" t="inlineStr">
        <is>
          <t>MS-0308</t>
        </is>
      </c>
      <c r="B309" s="6" t="inlineStr">
        <is>
          <t>PJ-056</t>
        </is>
      </c>
      <c r="C309" s="6" t="inlineStr">
        <is>
          <t>Environment Provisioned</t>
        </is>
      </c>
      <c r="D309" s="9" t="inlineStr">
        <is>
          <t>2026-08-24</t>
        </is>
      </c>
      <c r="E309" s="9" t="inlineStr">
        <is>
          <t>2026-09-05</t>
        </is>
      </c>
      <c r="F309" s="9" t="inlineStr"/>
      <c r="G309" s="6" t="inlineStr">
        <is>
          <t>Planned</t>
        </is>
      </c>
    </row>
    <row r="310">
      <c r="A310" s="6" t="inlineStr">
        <is>
          <t>MS-0309</t>
        </is>
      </c>
      <c r="B310" s="6" t="inlineStr">
        <is>
          <t>PJ-056</t>
        </is>
      </c>
      <c r="C310" s="6" t="inlineStr">
        <is>
          <t>Security Accreditation</t>
        </is>
      </c>
      <c r="D310" s="9" t="inlineStr">
        <is>
          <t>2026-11-20</t>
        </is>
      </c>
      <c r="E310" s="9" t="inlineStr">
        <is>
          <t>2026-11-27</t>
        </is>
      </c>
      <c r="F310" s="9" t="inlineStr"/>
      <c r="G310" s="6" t="inlineStr">
        <is>
          <t>Planned</t>
        </is>
      </c>
    </row>
    <row r="311">
      <c r="A311" s="6" t="inlineStr">
        <is>
          <t>MS-0310</t>
        </is>
      </c>
      <c r="B311" s="6" t="inlineStr">
        <is>
          <t>PJ-056</t>
        </is>
      </c>
      <c r="C311" s="6" t="inlineStr">
        <is>
          <t>Benefits Review</t>
        </is>
      </c>
      <c r="D311" s="9" t="inlineStr">
        <is>
          <t>2027-02-16</t>
        </is>
      </c>
      <c r="E311" s="9" t="inlineStr">
        <is>
          <t>2027-02-27</t>
        </is>
      </c>
      <c r="F311" s="9" t="inlineStr"/>
      <c r="G311" s="6" t="inlineStr">
        <is>
          <t>Planned</t>
        </is>
      </c>
    </row>
    <row r="312">
      <c r="A312" s="6" t="inlineStr">
        <is>
          <t>MS-0311</t>
        </is>
      </c>
      <c r="B312" s="6" t="inlineStr">
        <is>
          <t>PJ-057</t>
        </is>
      </c>
      <c r="C312" s="6" t="inlineStr">
        <is>
          <t>Business Case Approved</t>
        </is>
      </c>
      <c r="D312" s="9" t="inlineStr">
        <is>
          <t>2026-01-06</t>
        </is>
      </c>
      <c r="E312" s="9" t="inlineStr">
        <is>
          <t>2026-01-22</t>
        </is>
      </c>
      <c r="F312" s="9" t="inlineStr">
        <is>
          <t>2026-01-22</t>
        </is>
      </c>
      <c r="G312" s="6" t="inlineStr">
        <is>
          <t>Complete</t>
        </is>
      </c>
    </row>
    <row r="313">
      <c r="A313" s="6" t="inlineStr">
        <is>
          <t>MS-0312</t>
        </is>
      </c>
      <c r="B313" s="6" t="inlineStr">
        <is>
          <t>PJ-057</t>
        </is>
      </c>
      <c r="C313" s="6" t="inlineStr">
        <is>
          <t>Requirements Baselined</t>
        </is>
      </c>
      <c r="D313" s="9" t="inlineStr">
        <is>
          <t>2026-03-17</t>
        </is>
      </c>
      <c r="E313" s="9" t="inlineStr">
        <is>
          <t>2026-03-15</t>
        </is>
      </c>
      <c r="F313" s="9" t="inlineStr"/>
      <c r="G313" s="6" t="inlineStr">
        <is>
          <t>Overdue</t>
        </is>
      </c>
    </row>
    <row r="314">
      <c r="A314" s="6" t="inlineStr">
        <is>
          <t>MS-0313</t>
        </is>
      </c>
      <c r="B314" s="6" t="inlineStr">
        <is>
          <t>PJ-057</t>
        </is>
      </c>
      <c r="C314" s="6" t="inlineStr">
        <is>
          <t>Data Sharing Agreement</t>
        </is>
      </c>
      <c r="D314" s="9" t="inlineStr">
        <is>
          <t>2026-05-25</t>
        </is>
      </c>
      <c r="E314" s="9" t="inlineStr">
        <is>
          <t>2026-05-20</t>
        </is>
      </c>
      <c r="F314" s="9" t="inlineStr">
        <is>
          <t>2026-05-20</t>
        </is>
      </c>
      <c r="G314" s="6" t="inlineStr">
        <is>
          <t>Complete</t>
        </is>
      </c>
    </row>
    <row r="315">
      <c r="A315" s="6" t="inlineStr">
        <is>
          <t>MS-0314</t>
        </is>
      </c>
      <c r="B315" s="6" t="inlineStr">
        <is>
          <t>PJ-057</t>
        </is>
      </c>
      <c r="C315" s="6" t="inlineStr">
        <is>
          <t>Model Development Complete</t>
        </is>
      </c>
      <c r="D315" s="9" t="inlineStr">
        <is>
          <t>2026-08-03</t>
        </is>
      </c>
      <c r="E315" s="9" t="inlineStr">
        <is>
          <t>2026-08-04</t>
        </is>
      </c>
      <c r="F315" s="9" t="inlineStr">
        <is>
          <t>2026-08-04</t>
        </is>
      </c>
      <c r="G315" s="6" t="inlineStr">
        <is>
          <t>Complete</t>
        </is>
      </c>
    </row>
    <row r="316">
      <c r="A316" s="6" t="inlineStr">
        <is>
          <t>MS-0315</t>
        </is>
      </c>
      <c r="B316" s="6" t="inlineStr">
        <is>
          <t>PJ-057</t>
        </is>
      </c>
      <c r="C316" s="6" t="inlineStr">
        <is>
          <t>Pilot Live</t>
        </is>
      </c>
      <c r="D316" s="9" t="inlineStr">
        <is>
          <t>2026-10-12</t>
        </is>
      </c>
      <c r="E316" s="9" t="inlineStr">
        <is>
          <t>2026-10-22</t>
        </is>
      </c>
      <c r="F316" s="9" t="inlineStr"/>
      <c r="G316" s="6" t="inlineStr">
        <is>
          <t>Planned</t>
        </is>
      </c>
    </row>
    <row r="317">
      <c r="A317" s="6" t="inlineStr">
        <is>
          <t>MS-0316</t>
        </is>
      </c>
      <c r="B317" s="6" t="inlineStr">
        <is>
          <t>PJ-057</t>
        </is>
      </c>
      <c r="C317" s="6" t="inlineStr">
        <is>
          <t>Change &amp; Training Complete</t>
        </is>
      </c>
      <c r="D317" s="9" t="inlineStr">
        <is>
          <t>2026-12-20</t>
        </is>
      </c>
      <c r="E317" s="9" t="inlineStr">
        <is>
          <t>2027-01-01</t>
        </is>
      </c>
      <c r="F317" s="9" t="inlineStr"/>
      <c r="G317" s="6" t="inlineStr">
        <is>
          <t>Planned</t>
        </is>
      </c>
    </row>
    <row r="318">
      <c r="A318" s="6" t="inlineStr">
        <is>
          <t>MS-0317</t>
        </is>
      </c>
      <c r="B318" s="6" t="inlineStr">
        <is>
          <t>PJ-057</t>
        </is>
      </c>
      <c r="C318" s="6" t="inlineStr">
        <is>
          <t>Scaled Rollout</t>
        </is>
      </c>
      <c r="D318" s="9" t="inlineStr">
        <is>
          <t>2027-02-28</t>
        </is>
      </c>
      <c r="E318" s="9" t="inlineStr">
        <is>
          <t>2027-03-11</t>
        </is>
      </c>
      <c r="F318" s="9" t="inlineStr"/>
      <c r="G318" s="6" t="inlineStr">
        <is>
          <t>Planned</t>
        </is>
      </c>
    </row>
    <row r="319">
      <c r="A319" s="6" t="inlineStr">
        <is>
          <t>MS-0318</t>
        </is>
      </c>
      <c r="B319" s="6" t="inlineStr">
        <is>
          <t>PJ-058</t>
        </is>
      </c>
      <c r="C319" s="6" t="inlineStr">
        <is>
          <t>Business Case Approved</t>
        </is>
      </c>
      <c r="D319" s="9" t="inlineStr">
        <is>
          <t>2026-05-19</t>
        </is>
      </c>
      <c r="E319" s="9" t="inlineStr">
        <is>
          <t>2026-05-17</t>
        </is>
      </c>
      <c r="F319" s="9" t="inlineStr"/>
      <c r="G319" s="6" t="inlineStr">
        <is>
          <t>Overdue</t>
        </is>
      </c>
    </row>
    <row r="320">
      <c r="A320" s="6" t="inlineStr">
        <is>
          <t>MS-0319</t>
        </is>
      </c>
      <c r="B320" s="6" t="inlineStr">
        <is>
          <t>PJ-058</t>
        </is>
      </c>
      <c r="C320" s="6" t="inlineStr">
        <is>
          <t>Requirements Baselined</t>
        </is>
      </c>
      <c r="D320" s="9" t="inlineStr">
        <is>
          <t>2026-07-21</t>
        </is>
      </c>
      <c r="E320" s="9" t="inlineStr">
        <is>
          <t>2026-08-02</t>
        </is>
      </c>
      <c r="F320" s="9" t="inlineStr">
        <is>
          <t>2026-08-02</t>
        </is>
      </c>
      <c r="G320" s="6" t="inlineStr">
        <is>
          <t>Complete</t>
        </is>
      </c>
    </row>
    <row r="321">
      <c r="A321" s="6" t="inlineStr">
        <is>
          <t>MS-0320</t>
        </is>
      </c>
      <c r="B321" s="6" t="inlineStr">
        <is>
          <t>PJ-058</t>
        </is>
      </c>
      <c r="C321" s="6" t="inlineStr">
        <is>
          <t>Data Sharing Agreement</t>
        </is>
      </c>
      <c r="D321" s="9" t="inlineStr">
        <is>
          <t>2026-09-22</t>
        </is>
      </c>
      <c r="E321" s="9" t="inlineStr">
        <is>
          <t>2026-09-20</t>
        </is>
      </c>
      <c r="F321" s="9" t="inlineStr"/>
      <c r="G321" s="6" t="inlineStr">
        <is>
          <t>Planned</t>
        </is>
      </c>
    </row>
    <row r="322">
      <c r="A322" s="6" t="inlineStr">
        <is>
          <t>MS-0321</t>
        </is>
      </c>
      <c r="B322" s="6" t="inlineStr">
        <is>
          <t>PJ-058</t>
        </is>
      </c>
      <c r="C322" s="6" t="inlineStr">
        <is>
          <t>Pilot Live</t>
        </is>
      </c>
      <c r="D322" s="9" t="inlineStr">
        <is>
          <t>2026-11-25</t>
        </is>
      </c>
      <c r="E322" s="9" t="inlineStr">
        <is>
          <t>2027-01-01</t>
        </is>
      </c>
      <c r="F322" s="9" t="inlineStr"/>
      <c r="G322" s="6" t="inlineStr">
        <is>
          <t>Planned</t>
        </is>
      </c>
    </row>
    <row r="323">
      <c r="A323" s="6" t="inlineStr">
        <is>
          <t>MS-0322</t>
        </is>
      </c>
      <c r="B323" s="6" t="inlineStr">
        <is>
          <t>PJ-058</t>
        </is>
      </c>
      <c r="C323" s="6" t="inlineStr">
        <is>
          <t>Scaled Rollout</t>
        </is>
      </c>
      <c r="D323" s="9" t="inlineStr">
        <is>
          <t>2027-01-27</t>
        </is>
      </c>
      <c r="E323" s="9" t="inlineStr">
        <is>
          <t>2027-03-03</t>
        </is>
      </c>
      <c r="F323" s="9" t="inlineStr"/>
      <c r="G323" s="6" t="inlineStr">
        <is>
          <t>Planned</t>
        </is>
      </c>
    </row>
    <row r="324">
      <c r="A324" s="6" t="inlineStr">
        <is>
          <t>MS-0323</t>
        </is>
      </c>
      <c r="B324" s="6" t="inlineStr">
        <is>
          <t>PJ-058</t>
        </is>
      </c>
      <c r="C324" s="6" t="inlineStr">
        <is>
          <t>Benefits Review</t>
        </is>
      </c>
      <c r="D324" s="9" t="inlineStr">
        <is>
          <t>2027-03-31</t>
        </is>
      </c>
      <c r="E324" s="9" t="inlineStr">
        <is>
          <t>2027-05-02</t>
        </is>
      </c>
      <c r="F324" s="9" t="inlineStr"/>
      <c r="G324" s="6" t="inlineStr">
        <is>
          <t>Planned</t>
        </is>
      </c>
    </row>
    <row r="325">
      <c r="A325" s="6" t="inlineStr">
        <is>
          <t>MS-0324</t>
        </is>
      </c>
      <c r="B325" s="6" t="inlineStr">
        <is>
          <t>PJ-059</t>
        </is>
      </c>
      <c r="C325" s="6" t="inlineStr">
        <is>
          <t>Business Case Approved</t>
        </is>
      </c>
      <c r="D325" s="9" t="inlineStr">
        <is>
          <t>2026-01-06</t>
        </is>
      </c>
      <c r="E325" s="9" t="inlineStr">
        <is>
          <t>2026-01-10</t>
        </is>
      </c>
      <c r="F325" s="9" t="inlineStr"/>
      <c r="G325" s="6" t="inlineStr">
        <is>
          <t>Overdue</t>
        </is>
      </c>
    </row>
    <row r="326">
      <c r="A326" s="6" t="inlineStr">
        <is>
          <t>MS-0325</t>
        </is>
      </c>
      <c r="B326" s="6" t="inlineStr">
        <is>
          <t>PJ-059</t>
        </is>
      </c>
      <c r="C326" s="6" t="inlineStr">
        <is>
          <t>Requirements Baselined</t>
        </is>
      </c>
      <c r="D326" s="9" t="inlineStr">
        <is>
          <t>2026-02-08</t>
        </is>
      </c>
      <c r="E326" s="9" t="inlineStr">
        <is>
          <t>2026-02-17</t>
        </is>
      </c>
      <c r="F326" s="9" t="inlineStr">
        <is>
          <t>2026-02-17</t>
        </is>
      </c>
      <c r="G326" s="6" t="inlineStr">
        <is>
          <t>Complete</t>
        </is>
      </c>
    </row>
    <row r="327">
      <c r="A327" s="6" t="inlineStr">
        <is>
          <t>MS-0326</t>
        </is>
      </c>
      <c r="B327" s="6" t="inlineStr">
        <is>
          <t>PJ-059</t>
        </is>
      </c>
      <c r="C327" s="6" t="inlineStr">
        <is>
          <t>Data Sharing Agreement</t>
        </is>
      </c>
      <c r="D327" s="9" t="inlineStr">
        <is>
          <t>2026-03-13</t>
        </is>
      </c>
      <c r="E327" s="9" t="inlineStr">
        <is>
          <t>2026-03-26</t>
        </is>
      </c>
      <c r="F327" s="9" t="inlineStr">
        <is>
          <t>2026-03-26</t>
        </is>
      </c>
      <c r="G327" s="6" t="inlineStr">
        <is>
          <t>Complete</t>
        </is>
      </c>
    </row>
    <row r="328">
      <c r="A328" s="6" t="inlineStr">
        <is>
          <t>MS-0327</t>
        </is>
      </c>
      <c r="B328" s="6" t="inlineStr">
        <is>
          <t>PJ-059</t>
        </is>
      </c>
      <c r="C328" s="6" t="inlineStr">
        <is>
          <t>Model Development Complete</t>
        </is>
      </c>
      <c r="D328" s="9" t="inlineStr">
        <is>
          <t>2026-04-15</t>
        </is>
      </c>
      <c r="E328" s="9" t="inlineStr">
        <is>
          <t>2026-04-28</t>
        </is>
      </c>
      <c r="F328" s="9" t="inlineStr">
        <is>
          <t>2026-04-28</t>
        </is>
      </c>
      <c r="G328" s="6" t="inlineStr">
        <is>
          <t>Complete</t>
        </is>
      </c>
    </row>
    <row r="329">
      <c r="A329" s="6" t="inlineStr">
        <is>
          <t>MS-0328</t>
        </is>
      </c>
      <c r="B329" s="6" t="inlineStr">
        <is>
          <t>PJ-059</t>
        </is>
      </c>
      <c r="C329" s="6" t="inlineStr">
        <is>
          <t>Pilot Live</t>
        </is>
      </c>
      <c r="D329" s="9" t="inlineStr">
        <is>
          <t>2026-05-17</t>
        </is>
      </c>
      <c r="E329" s="9" t="inlineStr">
        <is>
          <t>2026-05-18</t>
        </is>
      </c>
      <c r="F329" s="9" t="inlineStr">
        <is>
          <t>2026-05-18</t>
        </is>
      </c>
      <c r="G329" s="6" t="inlineStr">
        <is>
          <t>Complete</t>
        </is>
      </c>
    </row>
    <row r="330">
      <c r="A330" s="6" t="inlineStr">
        <is>
          <t>MS-0329</t>
        </is>
      </c>
      <c r="B330" s="6" t="inlineStr">
        <is>
          <t>PJ-059</t>
        </is>
      </c>
      <c r="C330" s="6" t="inlineStr">
        <is>
          <t>Change &amp; Training Complete</t>
        </is>
      </c>
      <c r="D330" s="9" t="inlineStr">
        <is>
          <t>2026-06-19</t>
        </is>
      </c>
      <c r="E330" s="9" t="inlineStr">
        <is>
          <t>2026-06-22</t>
        </is>
      </c>
      <c r="F330" s="9" t="inlineStr">
        <is>
          <t>2026-06-22</t>
        </is>
      </c>
      <c r="G330" s="6" t="inlineStr">
        <is>
          <t>Complete</t>
        </is>
      </c>
    </row>
    <row r="331">
      <c r="A331" s="6" t="inlineStr">
        <is>
          <t>MS-0330</t>
        </is>
      </c>
      <c r="B331" s="6" t="inlineStr">
        <is>
          <t>PJ-059</t>
        </is>
      </c>
      <c r="C331" s="6" t="inlineStr">
        <is>
          <t>Scaled Rollout</t>
        </is>
      </c>
      <c r="D331" s="9" t="inlineStr">
        <is>
          <t>2026-07-22</t>
        </is>
      </c>
      <c r="E331" s="9" t="inlineStr">
        <is>
          <t>2026-07-17</t>
        </is>
      </c>
      <c r="F331" s="9" t="inlineStr">
        <is>
          <t>2026-07-17</t>
        </is>
      </c>
      <c r="G331" s="6" t="inlineStr">
        <is>
          <t>Complete</t>
        </is>
      </c>
    </row>
    <row r="332">
      <c r="A332" s="6" t="inlineStr">
        <is>
          <t>MS-0331</t>
        </is>
      </c>
      <c r="B332" s="6" t="inlineStr">
        <is>
          <t>PJ-060</t>
        </is>
      </c>
      <c r="C332" s="6" t="inlineStr">
        <is>
          <t>Business Case Approved</t>
        </is>
      </c>
      <c r="D332" s="9" t="inlineStr">
        <is>
          <t>2026-05-08</t>
        </is>
      </c>
      <c r="E332" s="9" t="inlineStr">
        <is>
          <t>2026-05-17</t>
        </is>
      </c>
      <c r="F332" s="9" t="inlineStr"/>
      <c r="G332" s="6" t="inlineStr">
        <is>
          <t>Overdue</t>
        </is>
      </c>
    </row>
    <row r="333">
      <c r="A333" s="6" t="inlineStr">
        <is>
          <t>MS-0332</t>
        </is>
      </c>
      <c r="B333" s="6" t="inlineStr">
        <is>
          <t>PJ-060</t>
        </is>
      </c>
      <c r="C333" s="6" t="inlineStr">
        <is>
          <t>Data Sharing Agreement</t>
        </is>
      </c>
      <c r="D333" s="9" t="inlineStr">
        <is>
          <t>2026-06-29</t>
        </is>
      </c>
      <c r="E333" s="9" t="inlineStr">
        <is>
          <t>2026-06-30</t>
        </is>
      </c>
      <c r="F333" s="9" t="inlineStr">
        <is>
          <t>2026-06-30</t>
        </is>
      </c>
      <c r="G333" s="6" t="inlineStr">
        <is>
          <t>Complete</t>
        </is>
      </c>
    </row>
    <row r="334">
      <c r="A334" s="6" t="inlineStr">
        <is>
          <t>MS-0333</t>
        </is>
      </c>
      <c r="B334" s="6" t="inlineStr">
        <is>
          <t>PJ-060</t>
        </is>
      </c>
      <c r="C334" s="6" t="inlineStr">
        <is>
          <t>Model Development Complete</t>
        </is>
      </c>
      <c r="D334" s="9" t="inlineStr">
        <is>
          <t>2026-08-20</t>
        </is>
      </c>
      <c r="E334" s="9" t="inlineStr">
        <is>
          <t>2026-08-15</t>
        </is>
      </c>
      <c r="F334" s="9" t="inlineStr">
        <is>
          <t>2026-08-15</t>
        </is>
      </c>
      <c r="G334" s="6" t="inlineStr">
        <is>
          <t>Complete</t>
        </is>
      </c>
    </row>
    <row r="335">
      <c r="A335" s="6" t="inlineStr">
        <is>
          <t>MS-0334</t>
        </is>
      </c>
      <c r="B335" s="6" t="inlineStr">
        <is>
          <t>PJ-060</t>
        </is>
      </c>
      <c r="C335" s="6" t="inlineStr">
        <is>
          <t>Pilot Live</t>
        </is>
      </c>
      <c r="D335" s="9" t="inlineStr">
        <is>
          <t>2026-10-11</t>
        </is>
      </c>
      <c r="E335" s="9" t="inlineStr">
        <is>
          <t>2026-10-10</t>
        </is>
      </c>
      <c r="F335" s="9" t="inlineStr"/>
      <c r="G335" s="6" t="inlineStr">
        <is>
          <t>Planned</t>
        </is>
      </c>
    </row>
    <row r="336">
      <c r="A336" s="6" t="inlineStr">
        <is>
          <t>MS-0335</t>
        </is>
      </c>
      <c r="B336" s="6" t="inlineStr">
        <is>
          <t>PJ-061</t>
        </is>
      </c>
      <c r="C336" s="6" t="inlineStr">
        <is>
          <t>Architecture Baselined</t>
        </is>
      </c>
      <c r="D336" s="9" t="inlineStr">
        <is>
          <t>2025-06-26</t>
        </is>
      </c>
      <c r="E336" s="9" t="inlineStr">
        <is>
          <t>2025-07-11</t>
        </is>
      </c>
      <c r="F336" s="9" t="inlineStr">
        <is>
          <t>2025-07-11</t>
        </is>
      </c>
      <c r="G336" s="6" t="inlineStr">
        <is>
          <t>Complete</t>
        </is>
      </c>
    </row>
    <row r="337">
      <c r="A337" s="6" t="inlineStr">
        <is>
          <t>MS-0336</t>
        </is>
      </c>
      <c r="B337" s="6" t="inlineStr">
        <is>
          <t>PJ-061</t>
        </is>
      </c>
      <c r="C337" s="6" t="inlineStr">
        <is>
          <t>Data Access Agreed</t>
        </is>
      </c>
      <c r="D337" s="9" t="inlineStr">
        <is>
          <t>2025-09-11</t>
        </is>
      </c>
      <c r="E337" s="9" t="inlineStr">
        <is>
          <t>2025-09-08</t>
        </is>
      </c>
      <c r="F337" s="9" t="inlineStr">
        <is>
          <t>2025-09-08</t>
        </is>
      </c>
      <c r="G337" s="6" t="inlineStr">
        <is>
          <t>Complete</t>
        </is>
      </c>
    </row>
    <row r="338">
      <c r="A338" s="6" t="inlineStr">
        <is>
          <t>MS-0337</t>
        </is>
      </c>
      <c r="B338" s="6" t="inlineStr">
        <is>
          <t>PJ-061</t>
        </is>
      </c>
      <c r="C338" s="6" t="inlineStr">
        <is>
          <t>Environment Provisioned</t>
        </is>
      </c>
      <c r="D338" s="9" t="inlineStr">
        <is>
          <t>2025-11-26</t>
        </is>
      </c>
      <c r="E338" s="9" t="inlineStr">
        <is>
          <t>2025-12-09</t>
        </is>
      </c>
      <c r="F338" s="9" t="inlineStr">
        <is>
          <t>2025-12-09</t>
        </is>
      </c>
      <c r="G338" s="6" t="inlineStr">
        <is>
          <t>Complete</t>
        </is>
      </c>
    </row>
    <row r="339">
      <c r="A339" s="6" t="inlineStr">
        <is>
          <t>MS-0338</t>
        </is>
      </c>
      <c r="B339" s="6" t="inlineStr">
        <is>
          <t>PJ-061</t>
        </is>
      </c>
      <c r="C339" s="6" t="inlineStr">
        <is>
          <t>Build Complete</t>
        </is>
      </c>
      <c r="D339" s="9" t="inlineStr">
        <is>
          <t>2026-02-11</t>
        </is>
      </c>
      <c r="E339" s="9" t="inlineStr">
        <is>
          <t>2026-02-06</t>
        </is>
      </c>
      <c r="F339" s="9" t="inlineStr">
        <is>
          <t>2026-02-06</t>
        </is>
      </c>
      <c r="G339" s="6" t="inlineStr">
        <is>
          <t>Complete</t>
        </is>
      </c>
    </row>
    <row r="340">
      <c r="A340" s="6" t="inlineStr">
        <is>
          <t>MS-0339</t>
        </is>
      </c>
      <c r="B340" s="6" t="inlineStr">
        <is>
          <t>PJ-061</t>
        </is>
      </c>
      <c r="C340" s="6" t="inlineStr">
        <is>
          <t>Security Accreditation</t>
        </is>
      </c>
      <c r="D340" s="9" t="inlineStr">
        <is>
          <t>2026-04-29</t>
        </is>
      </c>
      <c r="E340" s="9" t="inlineStr">
        <is>
          <t>2026-05-13</t>
        </is>
      </c>
      <c r="F340" s="9" t="inlineStr">
        <is>
          <t>2026-05-13</t>
        </is>
      </c>
      <c r="G340" s="6" t="inlineStr">
        <is>
          <t>Complete</t>
        </is>
      </c>
    </row>
    <row r="341">
      <c r="A341" s="6" t="inlineStr">
        <is>
          <t>MS-0340</t>
        </is>
      </c>
      <c r="B341" s="6" t="inlineStr">
        <is>
          <t>PJ-061</t>
        </is>
      </c>
      <c r="C341" s="6" t="inlineStr">
        <is>
          <t>Evaluation &amp; Red-Team Passed</t>
        </is>
      </c>
      <c r="D341" s="9" t="inlineStr">
        <is>
          <t>2026-07-14</t>
        </is>
      </c>
      <c r="E341" s="9" t="inlineStr">
        <is>
          <t>2026-07-18</t>
        </is>
      </c>
      <c r="F341" s="9" t="inlineStr">
        <is>
          <t>2026-07-18</t>
        </is>
      </c>
      <c r="G341" s="6" t="inlineStr">
        <is>
          <t>Complete</t>
        </is>
      </c>
    </row>
    <row r="342">
      <c r="A342" s="6" t="inlineStr">
        <is>
          <t>MS-0341</t>
        </is>
      </c>
      <c r="B342" s="6" t="inlineStr">
        <is>
          <t>PJ-061</t>
        </is>
      </c>
      <c r="C342" s="6" t="inlineStr">
        <is>
          <t>Production Go-Live</t>
        </is>
      </c>
      <c r="D342" s="9" t="inlineStr">
        <is>
          <t>2026-09-29</t>
        </is>
      </c>
      <c r="E342" s="9" t="inlineStr">
        <is>
          <t>2026-10-16</t>
        </is>
      </c>
      <c r="F342" s="9" t="inlineStr"/>
      <c r="G342" s="6" t="inlineStr">
        <is>
          <t>Planned</t>
        </is>
      </c>
    </row>
    <row r="343">
      <c r="A343" s="6" t="inlineStr">
        <is>
          <t>MS-0342</t>
        </is>
      </c>
      <c r="B343" s="6" t="inlineStr">
        <is>
          <t>PJ-062</t>
        </is>
      </c>
      <c r="C343" s="6" t="inlineStr">
        <is>
          <t>Requirements Baselined</t>
        </is>
      </c>
      <c r="D343" s="9" t="inlineStr">
        <is>
          <t>2025-11-10</t>
        </is>
      </c>
      <c r="E343" s="9" t="inlineStr">
        <is>
          <t>2025-11-06</t>
        </is>
      </c>
      <c r="F343" s="9" t="inlineStr">
        <is>
          <t>2025-11-06</t>
        </is>
      </c>
      <c r="G343" s="6" t="inlineStr">
        <is>
          <t>Complete</t>
        </is>
      </c>
    </row>
    <row r="344">
      <c r="A344" s="6" t="inlineStr">
        <is>
          <t>MS-0343</t>
        </is>
      </c>
      <c r="B344" s="6" t="inlineStr">
        <is>
          <t>PJ-062</t>
        </is>
      </c>
      <c r="C344" s="6" t="inlineStr">
        <is>
          <t>Data Sharing Agreement</t>
        </is>
      </c>
      <c r="D344" s="9" t="inlineStr">
        <is>
          <t>2025-12-11</t>
        </is>
      </c>
      <c r="E344" s="9" t="inlineStr">
        <is>
          <t>2025-12-20</t>
        </is>
      </c>
      <c r="F344" s="9" t="inlineStr">
        <is>
          <t>2025-12-20</t>
        </is>
      </c>
      <c r="G344" s="6" t="inlineStr">
        <is>
          <t>Complete</t>
        </is>
      </c>
    </row>
    <row r="345">
      <c r="A345" s="6" t="inlineStr">
        <is>
          <t>MS-0344</t>
        </is>
      </c>
      <c r="B345" s="6" t="inlineStr">
        <is>
          <t>PJ-062</t>
        </is>
      </c>
      <c r="C345" s="6" t="inlineStr">
        <is>
          <t>Model Development Complete</t>
        </is>
      </c>
      <c r="D345" s="9" t="inlineStr">
        <is>
          <t>2026-01-11</t>
        </is>
      </c>
      <c r="E345" s="9" t="inlineStr">
        <is>
          <t>2026-01-12</t>
        </is>
      </c>
      <c r="F345" s="9" t="inlineStr">
        <is>
          <t>2026-01-12</t>
        </is>
      </c>
      <c r="G345" s="6" t="inlineStr">
        <is>
          <t>Complete</t>
        </is>
      </c>
    </row>
    <row r="346">
      <c r="A346" s="6" t="inlineStr">
        <is>
          <t>MS-0345</t>
        </is>
      </c>
      <c r="B346" s="6" t="inlineStr">
        <is>
          <t>PJ-062</t>
        </is>
      </c>
      <c r="C346" s="6" t="inlineStr">
        <is>
          <t>Pilot Live</t>
        </is>
      </c>
      <c r="D346" s="9" t="inlineStr">
        <is>
          <t>2026-02-11</t>
        </is>
      </c>
      <c r="E346" s="9" t="inlineStr">
        <is>
          <t>2026-02-20</t>
        </is>
      </c>
      <c r="F346" s="9" t="inlineStr">
        <is>
          <t>2026-02-20</t>
        </is>
      </c>
      <c r="G346" s="6" t="inlineStr">
        <is>
          <t>Complete</t>
        </is>
      </c>
    </row>
    <row r="347">
      <c r="A347" s="6" t="inlineStr">
        <is>
          <t>MS-0346</t>
        </is>
      </c>
      <c r="B347" s="6" t="inlineStr">
        <is>
          <t>PJ-062</t>
        </is>
      </c>
      <c r="C347" s="6" t="inlineStr">
        <is>
          <t>Change &amp; Training Complete</t>
        </is>
      </c>
      <c r="D347" s="9" t="inlineStr">
        <is>
          <t>2026-03-14</t>
        </is>
      </c>
      <c r="E347" s="9" t="inlineStr">
        <is>
          <t>2026-03-23</t>
        </is>
      </c>
      <c r="F347" s="9" t="inlineStr">
        <is>
          <t>2026-03-23</t>
        </is>
      </c>
      <c r="G347" s="6" t="inlineStr">
        <is>
          <t>Complete</t>
        </is>
      </c>
    </row>
    <row r="348">
      <c r="A348" s="6" t="inlineStr">
        <is>
          <t>MS-0347</t>
        </is>
      </c>
      <c r="B348" s="6" t="inlineStr">
        <is>
          <t>PJ-062</t>
        </is>
      </c>
      <c r="C348" s="6" t="inlineStr">
        <is>
          <t>Scaled Rollout</t>
        </is>
      </c>
      <c r="D348" s="9" t="inlineStr">
        <is>
          <t>2026-04-14</t>
        </is>
      </c>
      <c r="E348" s="9" t="inlineStr">
        <is>
          <t>2026-05-09</t>
        </is>
      </c>
      <c r="F348" s="9" t="inlineStr">
        <is>
          <t>2026-05-09</t>
        </is>
      </c>
      <c r="G348" s="6" t="inlineStr">
        <is>
          <t>Complete</t>
        </is>
      </c>
    </row>
    <row r="349">
      <c r="A349" s="6" t="inlineStr">
        <is>
          <t>MS-0348</t>
        </is>
      </c>
      <c r="B349" s="6" t="inlineStr">
        <is>
          <t>PJ-062</t>
        </is>
      </c>
      <c r="C349" s="6" t="inlineStr">
        <is>
          <t>Benefits Review</t>
        </is>
      </c>
      <c r="D349" s="9" t="inlineStr">
        <is>
          <t>2026-05-15</t>
        </is>
      </c>
      <c r="E349" s="9" t="inlineStr">
        <is>
          <t>2026-06-05</t>
        </is>
      </c>
      <c r="F349" s="9" t="inlineStr">
        <is>
          <t>2026-06-05</t>
        </is>
      </c>
      <c r="G349" s="6" t="inlineStr">
        <is>
          <t>Complete</t>
        </is>
      </c>
    </row>
    <row r="350">
      <c r="A350" s="6" t="inlineStr">
        <is>
          <t>MS-0349</t>
        </is>
      </c>
      <c r="B350" s="6" t="inlineStr">
        <is>
          <t>PJ-063</t>
        </is>
      </c>
      <c r="C350" s="6" t="inlineStr">
        <is>
          <t>Business Case Approved</t>
        </is>
      </c>
      <c r="D350" s="9" t="inlineStr">
        <is>
          <t>2026-04-06</t>
        </is>
      </c>
      <c r="E350" s="9" t="inlineStr">
        <is>
          <t>2026-04-15</t>
        </is>
      </c>
      <c r="F350" s="9" t="inlineStr">
        <is>
          <t>2026-04-15</t>
        </is>
      </c>
      <c r="G350" s="6" t="inlineStr">
        <is>
          <t>Complete</t>
        </is>
      </c>
    </row>
    <row r="351">
      <c r="A351" s="6" t="inlineStr">
        <is>
          <t>MS-0350</t>
        </is>
      </c>
      <c r="B351" s="6" t="inlineStr">
        <is>
          <t>PJ-063</t>
        </is>
      </c>
      <c r="C351" s="6" t="inlineStr">
        <is>
          <t>Requirements Baselined</t>
        </is>
      </c>
      <c r="D351" s="9" t="inlineStr">
        <is>
          <t>2026-06-14</t>
        </is>
      </c>
      <c r="E351" s="9" t="inlineStr">
        <is>
          <t>2026-06-10</t>
        </is>
      </c>
      <c r="F351" s="9" t="inlineStr">
        <is>
          <t>2026-06-10</t>
        </is>
      </c>
      <c r="G351" s="6" t="inlineStr">
        <is>
          <t>Complete</t>
        </is>
      </c>
    </row>
    <row r="352">
      <c r="A352" s="6" t="inlineStr">
        <is>
          <t>MS-0351</t>
        </is>
      </c>
      <c r="B352" s="6" t="inlineStr">
        <is>
          <t>PJ-063</t>
        </is>
      </c>
      <c r="C352" s="6" t="inlineStr">
        <is>
          <t>Model Development Complete</t>
        </is>
      </c>
      <c r="D352" s="9" t="inlineStr">
        <is>
          <t>2026-08-23</t>
        </is>
      </c>
      <c r="E352" s="9" t="inlineStr">
        <is>
          <t>2026-08-24</t>
        </is>
      </c>
      <c r="F352" s="9" t="inlineStr"/>
      <c r="G352" s="6" t="inlineStr">
        <is>
          <t>Planned</t>
        </is>
      </c>
    </row>
    <row r="353">
      <c r="A353" s="6" t="inlineStr">
        <is>
          <t>MS-0352</t>
        </is>
      </c>
      <c r="B353" s="6" t="inlineStr">
        <is>
          <t>PJ-063</t>
        </is>
      </c>
      <c r="C353" s="6" t="inlineStr">
        <is>
          <t>Pilot Live</t>
        </is>
      </c>
      <c r="D353" s="9" t="inlineStr">
        <is>
          <t>2026-10-31</t>
        </is>
      </c>
      <c r="E353" s="9" t="inlineStr">
        <is>
          <t>2026-11-11</t>
        </is>
      </c>
      <c r="F353" s="9" t="inlineStr"/>
      <c r="G353" s="6" t="inlineStr">
        <is>
          <t>Planned</t>
        </is>
      </c>
    </row>
    <row r="354">
      <c r="A354" s="6" t="inlineStr">
        <is>
          <t>MS-0353</t>
        </is>
      </c>
      <c r="B354" s="6" t="inlineStr">
        <is>
          <t>PJ-063</t>
        </is>
      </c>
      <c r="C354" s="6" t="inlineStr">
        <is>
          <t>Change &amp; Training Complete</t>
        </is>
      </c>
      <c r="D354" s="9" t="inlineStr">
        <is>
          <t>2027-01-09</t>
        </is>
      </c>
      <c r="E354" s="9" t="inlineStr">
        <is>
          <t>2027-01-19</t>
        </is>
      </c>
      <c r="F354" s="9" t="inlineStr"/>
      <c r="G354" s="6" t="inlineStr">
        <is>
          <t>Planned</t>
        </is>
      </c>
    </row>
    <row r="355">
      <c r="A355" s="6" t="inlineStr">
        <is>
          <t>MS-0354</t>
        </is>
      </c>
      <c r="B355" s="6" t="inlineStr">
        <is>
          <t>PJ-063</t>
        </is>
      </c>
      <c r="C355" s="6" t="inlineStr">
        <is>
          <t>Benefits Review</t>
        </is>
      </c>
      <c r="D355" s="9" t="inlineStr">
        <is>
          <t>2027-03-19</t>
        </is>
      </c>
      <c r="E355" s="9" t="inlineStr">
        <is>
          <t>2027-03-23</t>
        </is>
      </c>
      <c r="F355" s="9" t="inlineStr"/>
      <c r="G355" s="6" t="inlineStr">
        <is>
          <t>Planned</t>
        </is>
      </c>
    </row>
    <row r="356">
      <c r="A356" s="6" t="inlineStr">
        <is>
          <t>MS-0355</t>
        </is>
      </c>
      <c r="B356" s="6" t="inlineStr">
        <is>
          <t>PJ-064</t>
        </is>
      </c>
      <c r="C356" s="6" t="inlineStr">
        <is>
          <t>Architecture Baselined</t>
        </is>
      </c>
      <c r="D356" s="9" t="inlineStr">
        <is>
          <t>2026-06-14</t>
        </is>
      </c>
      <c r="E356" s="9" t="inlineStr">
        <is>
          <t>2026-06-16</t>
        </is>
      </c>
      <c r="F356" s="9" t="inlineStr"/>
      <c r="G356" s="6" t="inlineStr">
        <is>
          <t>Overdue</t>
        </is>
      </c>
    </row>
    <row r="357">
      <c r="A357" s="6" t="inlineStr">
        <is>
          <t>MS-0356</t>
        </is>
      </c>
      <c r="B357" s="6" t="inlineStr">
        <is>
          <t>PJ-064</t>
        </is>
      </c>
      <c r="C357" s="6" t="inlineStr">
        <is>
          <t>Data Access Agreed</t>
        </is>
      </c>
      <c r="D357" s="9" t="inlineStr">
        <is>
          <t>2026-10-02</t>
        </is>
      </c>
      <c r="E357" s="9" t="inlineStr">
        <is>
          <t>2026-10-09</t>
        </is>
      </c>
      <c r="F357" s="9" t="inlineStr"/>
      <c r="G357" s="6" t="inlineStr">
        <is>
          <t>Planned</t>
        </is>
      </c>
    </row>
    <row r="358">
      <c r="A358" s="6" t="inlineStr">
        <is>
          <t>MS-0357</t>
        </is>
      </c>
      <c r="B358" s="6" t="inlineStr">
        <is>
          <t>PJ-064</t>
        </is>
      </c>
      <c r="C358" s="6" t="inlineStr">
        <is>
          <t>Build Complete</t>
        </is>
      </c>
      <c r="D358" s="9" t="inlineStr">
        <is>
          <t>2027-01-19</t>
        </is>
      </c>
      <c r="E358" s="9" t="inlineStr">
        <is>
          <t>2027-04-09</t>
        </is>
      </c>
      <c r="F358" s="9" t="inlineStr"/>
      <c r="G358" s="6" t="inlineStr">
        <is>
          <t>Planned</t>
        </is>
      </c>
    </row>
    <row r="359">
      <c r="A359" s="6" t="inlineStr">
        <is>
          <t>MS-0358</t>
        </is>
      </c>
      <c r="B359" s="6" t="inlineStr">
        <is>
          <t>PJ-064</t>
        </is>
      </c>
      <c r="C359" s="6" t="inlineStr">
        <is>
          <t>Security Accreditation</t>
        </is>
      </c>
      <c r="D359" s="9" t="inlineStr">
        <is>
          <t>2027-05-09</t>
        </is>
      </c>
      <c r="E359" s="9" t="inlineStr">
        <is>
          <t>2027-06-26</t>
        </is>
      </c>
      <c r="F359" s="9" t="inlineStr"/>
      <c r="G359" s="6" t="inlineStr">
        <is>
          <t>Planned</t>
        </is>
      </c>
    </row>
    <row r="360">
      <c r="A360" s="6" t="inlineStr">
        <is>
          <t>MS-0359</t>
        </is>
      </c>
      <c r="B360" s="6" t="inlineStr">
        <is>
          <t>PJ-064</t>
        </is>
      </c>
      <c r="C360" s="6" t="inlineStr">
        <is>
          <t>Production Go-Live</t>
        </is>
      </c>
      <c r="D360" s="9" t="inlineStr">
        <is>
          <t>2027-08-26</t>
        </is>
      </c>
      <c r="E360" s="9" t="inlineStr">
        <is>
          <t>2027-08-29</t>
        </is>
      </c>
      <c r="F360" s="9" t="inlineStr"/>
      <c r="G360" s="6" t="inlineStr">
        <is>
          <t>Planned</t>
        </is>
      </c>
    </row>
    <row r="361">
      <c r="A361" s="6" t="inlineStr">
        <is>
          <t>MS-0360</t>
        </is>
      </c>
      <c r="B361" s="6" t="inlineStr">
        <is>
          <t>PJ-064</t>
        </is>
      </c>
      <c r="C361" s="6" t="inlineStr">
        <is>
          <t>Benefits Review</t>
        </is>
      </c>
      <c r="D361" s="9" t="inlineStr">
        <is>
          <t>2027-12-14</t>
        </is>
      </c>
      <c r="E361" s="9" t="inlineStr">
        <is>
          <t>2028-02-16</t>
        </is>
      </c>
      <c r="F361" s="9" t="inlineStr"/>
      <c r="G361" s="6" t="inlineStr">
        <is>
          <t>Planned</t>
        </is>
      </c>
    </row>
    <row r="362">
      <c r="A362" s="6" t="inlineStr">
        <is>
          <t>MS-0361</t>
        </is>
      </c>
      <c r="B362" s="6" t="inlineStr">
        <is>
          <t>PJ-065</t>
        </is>
      </c>
      <c r="C362" s="6" t="inlineStr">
        <is>
          <t>Site Selection Approved</t>
        </is>
      </c>
      <c r="D362" s="9" t="inlineStr">
        <is>
          <t>2026-03-11</t>
        </is>
      </c>
      <c r="E362" s="9" t="inlineStr">
        <is>
          <t>2026-03-18</t>
        </is>
      </c>
      <c r="F362" s="9" t="inlineStr">
        <is>
          <t>2026-03-18</t>
        </is>
      </c>
      <c r="G362" s="6" t="inlineStr">
        <is>
          <t>Complete</t>
        </is>
      </c>
    </row>
    <row r="363">
      <c r="A363" s="6" t="inlineStr">
        <is>
          <t>MS-0362</t>
        </is>
      </c>
      <c r="B363" s="6" t="inlineStr">
        <is>
          <t>PJ-065</t>
        </is>
      </c>
      <c r="C363" s="6" t="inlineStr">
        <is>
          <t>Grid Connection Agreement</t>
        </is>
      </c>
      <c r="D363" s="9" t="inlineStr">
        <is>
          <t>2026-09-01</t>
        </is>
      </c>
      <c r="E363" s="9" t="inlineStr">
        <is>
          <t>2026-09-01</t>
        </is>
      </c>
      <c r="F363" s="9" t="inlineStr"/>
      <c r="G363" s="6" t="inlineStr">
        <is>
          <t>Planned</t>
        </is>
      </c>
    </row>
    <row r="364">
      <c r="A364" s="6" t="inlineStr">
        <is>
          <t>MS-0363</t>
        </is>
      </c>
      <c r="B364" s="6" t="inlineStr">
        <is>
          <t>PJ-065</t>
        </is>
      </c>
      <c r="C364" s="6" t="inlineStr">
        <is>
          <t>Design Authority Approval</t>
        </is>
      </c>
      <c r="D364" s="9" t="inlineStr">
        <is>
          <t>2027-02-21</t>
        </is>
      </c>
      <c r="E364" s="9" t="inlineStr">
        <is>
          <t>2027-03-08</t>
        </is>
      </c>
      <c r="F364" s="9" t="inlineStr"/>
      <c r="G364" s="6" t="inlineStr">
        <is>
          <t>Planned</t>
        </is>
      </c>
    </row>
    <row r="365">
      <c r="A365" s="6" t="inlineStr">
        <is>
          <t>MS-0364</t>
        </is>
      </c>
      <c r="B365" s="6" t="inlineStr">
        <is>
          <t>PJ-065</t>
        </is>
      </c>
      <c r="C365" s="6" t="inlineStr">
        <is>
          <t>Construction Start</t>
        </is>
      </c>
      <c r="D365" s="9" t="inlineStr">
        <is>
          <t>2027-08-14</t>
        </is>
      </c>
      <c r="E365" s="9" t="inlineStr">
        <is>
          <t>2027-08-30</t>
        </is>
      </c>
      <c r="F365" s="9" t="inlineStr"/>
      <c r="G365" s="6" t="inlineStr">
        <is>
          <t>Planned</t>
        </is>
      </c>
    </row>
    <row r="366">
      <c r="A366" s="6" t="inlineStr">
        <is>
          <t>MS-0365</t>
        </is>
      </c>
      <c r="B366" s="6" t="inlineStr">
        <is>
          <t>PJ-065</t>
        </is>
      </c>
      <c r="C366" s="6" t="inlineStr">
        <is>
          <t>Power Energisation</t>
        </is>
      </c>
      <c r="D366" s="9" t="inlineStr">
        <is>
          <t>2028-02-04</t>
        </is>
      </c>
      <c r="E366" s="9" t="inlineStr">
        <is>
          <t>2028-02-03</t>
        </is>
      </c>
      <c r="F366" s="9" t="inlineStr"/>
      <c r="G366" s="6" t="inlineStr">
        <is>
          <t>Planned</t>
        </is>
      </c>
    </row>
    <row r="367">
      <c r="A367" s="6" t="inlineStr">
        <is>
          <t>MS-0366</t>
        </is>
      </c>
      <c r="B367" s="6" t="inlineStr">
        <is>
          <t>PJ-065</t>
        </is>
      </c>
      <c r="C367" s="6" t="inlineStr">
        <is>
          <t>Equipment Installation Complete</t>
        </is>
      </c>
      <c r="D367" s="9" t="inlineStr">
        <is>
          <t>2028-07-26</t>
        </is>
      </c>
      <c r="E367" s="9" t="inlineStr">
        <is>
          <t>2028-08-08</t>
        </is>
      </c>
      <c r="F367" s="9" t="inlineStr"/>
      <c r="G367" s="6" t="inlineStr">
        <is>
          <t>Planned</t>
        </is>
      </c>
    </row>
    <row r="368">
      <c r="A368" s="6" t="inlineStr">
        <is>
          <t>MS-0367</t>
        </is>
      </c>
      <c r="B368" s="6" t="inlineStr">
        <is>
          <t>PJ-065</t>
        </is>
      </c>
      <c r="C368" s="6" t="inlineStr">
        <is>
          <t>Operational Handover</t>
        </is>
      </c>
      <c r="D368" s="9" t="inlineStr">
        <is>
          <t>2029-01-16</t>
        </is>
      </c>
      <c r="E368" s="9" t="inlineStr">
        <is>
          <t>2029-01-31</t>
        </is>
      </c>
      <c r="F368" s="9" t="inlineStr"/>
      <c r="G368" s="6" t="inlineStr">
        <is>
          <t>Planned</t>
        </is>
      </c>
    </row>
    <row r="369">
      <c r="A369" s="6" t="inlineStr">
        <is>
          <t>MS-0368</t>
        </is>
      </c>
      <c r="B369" s="6" t="inlineStr">
        <is>
          <t>PJ-066</t>
        </is>
      </c>
      <c r="C369" s="6" t="inlineStr">
        <is>
          <t>Architecture Baselined</t>
        </is>
      </c>
      <c r="D369" s="9" t="inlineStr">
        <is>
          <t>2025-09-21</t>
        </is>
      </c>
      <c r="E369" s="9" t="inlineStr">
        <is>
          <t>2025-09-22</t>
        </is>
      </c>
      <c r="F369" s="9" t="inlineStr">
        <is>
          <t>2025-09-22</t>
        </is>
      </c>
      <c r="G369" s="6" t="inlineStr">
        <is>
          <t>Complete</t>
        </is>
      </c>
    </row>
    <row r="370">
      <c r="A370" s="6" t="inlineStr">
        <is>
          <t>MS-0369</t>
        </is>
      </c>
      <c r="B370" s="6" t="inlineStr">
        <is>
          <t>PJ-066</t>
        </is>
      </c>
      <c r="C370" s="6" t="inlineStr">
        <is>
          <t>Data Access Agreed</t>
        </is>
      </c>
      <c r="D370" s="9" t="inlineStr">
        <is>
          <t>2026-01-04</t>
        </is>
      </c>
      <c r="E370" s="9" t="inlineStr">
        <is>
          <t>2026-01-14</t>
        </is>
      </c>
      <c r="F370" s="9" t="inlineStr">
        <is>
          <t>2026-01-14</t>
        </is>
      </c>
      <c r="G370" s="6" t="inlineStr">
        <is>
          <t>Complete</t>
        </is>
      </c>
    </row>
    <row r="371">
      <c r="A371" s="6" t="inlineStr">
        <is>
          <t>MS-0370</t>
        </is>
      </c>
      <c r="B371" s="6" t="inlineStr">
        <is>
          <t>PJ-066</t>
        </is>
      </c>
      <c r="C371" s="6" t="inlineStr">
        <is>
          <t>Environment Provisioned</t>
        </is>
      </c>
      <c r="D371" s="9" t="inlineStr">
        <is>
          <t>2026-04-19</t>
        </is>
      </c>
      <c r="E371" s="9" t="inlineStr">
        <is>
          <t>2026-04-23</t>
        </is>
      </c>
      <c r="F371" s="9" t="inlineStr">
        <is>
          <t>2026-04-23</t>
        </is>
      </c>
      <c r="G371" s="6" t="inlineStr">
        <is>
          <t>Complete</t>
        </is>
      </c>
    </row>
    <row r="372">
      <c r="A372" s="6" t="inlineStr">
        <is>
          <t>MS-0371</t>
        </is>
      </c>
      <c r="B372" s="6" t="inlineStr">
        <is>
          <t>PJ-066</t>
        </is>
      </c>
      <c r="C372" s="6" t="inlineStr">
        <is>
          <t>Build Complete</t>
        </is>
      </c>
      <c r="D372" s="9" t="inlineStr">
        <is>
          <t>2026-08-03</t>
        </is>
      </c>
      <c r="E372" s="9" t="inlineStr">
        <is>
          <t>2026-08-11</t>
        </is>
      </c>
      <c r="F372" s="9" t="inlineStr">
        <is>
          <t>2026-08-11</t>
        </is>
      </c>
      <c r="G372" s="6" t="inlineStr">
        <is>
          <t>Complete</t>
        </is>
      </c>
    </row>
    <row r="373">
      <c r="A373" s="6" t="inlineStr">
        <is>
          <t>MS-0372</t>
        </is>
      </c>
      <c r="B373" s="6" t="inlineStr">
        <is>
          <t>PJ-066</t>
        </is>
      </c>
      <c r="C373" s="6" t="inlineStr">
        <is>
          <t>Security Accreditation</t>
        </is>
      </c>
      <c r="D373" s="9" t="inlineStr">
        <is>
          <t>2026-11-16</t>
        </is>
      </c>
      <c r="E373" s="9" t="inlineStr">
        <is>
          <t>2026-11-15</t>
        </is>
      </c>
      <c r="F373" s="9" t="inlineStr"/>
      <c r="G373" s="6" t="inlineStr">
        <is>
          <t>Planned</t>
        </is>
      </c>
    </row>
    <row r="374">
      <c r="A374" s="6" t="inlineStr">
        <is>
          <t>MS-0373</t>
        </is>
      </c>
      <c r="B374" s="6" t="inlineStr">
        <is>
          <t>PJ-066</t>
        </is>
      </c>
      <c r="C374" s="6" t="inlineStr">
        <is>
          <t>Evaluation &amp; Red-Team Passed</t>
        </is>
      </c>
      <c r="D374" s="9" t="inlineStr">
        <is>
          <t>2027-03-01</t>
        </is>
      </c>
      <c r="E374" s="9" t="inlineStr">
        <is>
          <t>2027-03-01</t>
        </is>
      </c>
      <c r="F374" s="9" t="inlineStr"/>
      <c r="G374" s="6" t="inlineStr">
        <is>
          <t>Planned</t>
        </is>
      </c>
    </row>
    <row r="375">
      <c r="A375" s="6" t="inlineStr">
        <is>
          <t>MS-0374</t>
        </is>
      </c>
      <c r="B375" s="6" t="inlineStr">
        <is>
          <t>PJ-066</t>
        </is>
      </c>
      <c r="C375" s="6" t="inlineStr">
        <is>
          <t>Benefits Review</t>
        </is>
      </c>
      <c r="D375" s="9" t="inlineStr">
        <is>
          <t>2027-06-14</t>
        </is>
      </c>
      <c r="E375" s="9" t="inlineStr">
        <is>
          <t>2027-06-20</t>
        </is>
      </c>
      <c r="F375" s="9" t="inlineStr"/>
      <c r="G375" s="6" t="inlineStr">
        <is>
          <t>Planned</t>
        </is>
      </c>
    </row>
    <row r="376">
      <c r="A376" s="6" t="inlineStr">
        <is>
          <t>MS-0375</t>
        </is>
      </c>
      <c r="B376" s="6" t="inlineStr">
        <is>
          <t>PJ-067</t>
        </is>
      </c>
      <c r="C376" s="6" t="inlineStr">
        <is>
          <t>Business Case Approved</t>
        </is>
      </c>
      <c r="D376" s="9" t="inlineStr">
        <is>
          <t>2026-03-22</t>
        </is>
      </c>
      <c r="E376" s="9" t="inlineStr">
        <is>
          <t>2026-04-21</t>
        </is>
      </c>
      <c r="F376" s="9" t="inlineStr">
        <is>
          <t>2026-04-21</t>
        </is>
      </c>
      <c r="G376" s="6" t="inlineStr">
        <is>
          <t>Complete</t>
        </is>
      </c>
    </row>
    <row r="377">
      <c r="A377" s="6" t="inlineStr">
        <is>
          <t>MS-0376</t>
        </is>
      </c>
      <c r="B377" s="6" t="inlineStr">
        <is>
          <t>PJ-067</t>
        </is>
      </c>
      <c r="C377" s="6" t="inlineStr">
        <is>
          <t>Requirements Baselined</t>
        </is>
      </c>
      <c r="D377" s="9" t="inlineStr">
        <is>
          <t>2026-05-20</t>
        </is>
      </c>
      <c r="E377" s="9" t="inlineStr">
        <is>
          <t>2026-06-25</t>
        </is>
      </c>
      <c r="F377" s="9" t="inlineStr">
        <is>
          <t>2026-06-25</t>
        </is>
      </c>
      <c r="G377" s="6" t="inlineStr">
        <is>
          <t>Complete</t>
        </is>
      </c>
    </row>
    <row r="378">
      <c r="A378" s="6" t="inlineStr">
        <is>
          <t>MS-0377</t>
        </is>
      </c>
      <c r="B378" s="6" t="inlineStr">
        <is>
          <t>PJ-067</t>
        </is>
      </c>
      <c r="C378" s="6" t="inlineStr">
        <is>
          <t>Data Sharing Agreement</t>
        </is>
      </c>
      <c r="D378" s="9" t="inlineStr">
        <is>
          <t>2026-07-18</t>
        </is>
      </c>
      <c r="E378" s="9" t="inlineStr">
        <is>
          <t>2026-08-14</t>
        </is>
      </c>
      <c r="F378" s="9" t="inlineStr">
        <is>
          <t>2026-08-14</t>
        </is>
      </c>
      <c r="G378" s="6" t="inlineStr">
        <is>
          <t>Complete</t>
        </is>
      </c>
    </row>
    <row r="379">
      <c r="A379" s="6" t="inlineStr">
        <is>
          <t>MS-0378</t>
        </is>
      </c>
      <c r="B379" s="6" t="inlineStr">
        <is>
          <t>PJ-067</t>
        </is>
      </c>
      <c r="C379" s="6" t="inlineStr">
        <is>
          <t>Model Development Complete</t>
        </is>
      </c>
      <c r="D379" s="9" t="inlineStr">
        <is>
          <t>2026-09-15</t>
        </is>
      </c>
      <c r="E379" s="9" t="inlineStr">
        <is>
          <t>2026-10-03</t>
        </is>
      </c>
      <c r="F379" s="9" t="inlineStr"/>
      <c r="G379" s="6" t="inlineStr">
        <is>
          <t>Planned</t>
        </is>
      </c>
    </row>
    <row r="380">
      <c r="A380" s="6" t="inlineStr">
        <is>
          <t>MS-0379</t>
        </is>
      </c>
      <c r="B380" s="6" t="inlineStr">
        <is>
          <t>PJ-067</t>
        </is>
      </c>
      <c r="C380" s="6" t="inlineStr">
        <is>
          <t>Pilot Live</t>
        </is>
      </c>
      <c r="D380" s="9" t="inlineStr">
        <is>
          <t>2026-11-13</t>
        </is>
      </c>
      <c r="E380" s="9" t="inlineStr">
        <is>
          <t>2026-11-29</t>
        </is>
      </c>
      <c r="F380" s="9" t="inlineStr"/>
      <c r="G380" s="6" t="inlineStr">
        <is>
          <t>Planned</t>
        </is>
      </c>
    </row>
    <row r="381">
      <c r="A381" s="6" t="inlineStr">
        <is>
          <t>MS-0380</t>
        </is>
      </c>
      <c r="B381" s="6" t="inlineStr">
        <is>
          <t>PJ-067</t>
        </is>
      </c>
      <c r="C381" s="6" t="inlineStr">
        <is>
          <t>Benefits Review</t>
        </is>
      </c>
      <c r="D381" s="9" t="inlineStr">
        <is>
          <t>2027-01-11</t>
        </is>
      </c>
      <c r="E381" s="9" t="inlineStr">
        <is>
          <t>2027-02-05</t>
        </is>
      </c>
      <c r="F381" s="9" t="inlineStr"/>
      <c r="G381" s="6" t="inlineStr">
        <is>
          <t>Planned</t>
        </is>
      </c>
    </row>
    <row r="382">
      <c r="A382" s="6" t="inlineStr">
        <is>
          <t>MS-0381</t>
        </is>
      </c>
      <c r="B382" s="6" t="inlineStr">
        <is>
          <t>PJ-068</t>
        </is>
      </c>
      <c r="C382" s="6" t="inlineStr">
        <is>
          <t>Land &amp; Permits Secured</t>
        </is>
      </c>
      <c r="D382" s="9" t="inlineStr">
        <is>
          <t>2025-06-22</t>
        </is>
      </c>
      <c r="E382" s="9" t="inlineStr">
        <is>
          <t>2025-07-29</t>
        </is>
      </c>
      <c r="F382" s="9" t="inlineStr"/>
      <c r="G382" s="6" t="inlineStr">
        <is>
          <t>Overdue</t>
        </is>
      </c>
    </row>
    <row r="383">
      <c r="A383" s="6" t="inlineStr">
        <is>
          <t>MS-0382</t>
        </is>
      </c>
      <c r="B383" s="6" t="inlineStr">
        <is>
          <t>PJ-068</t>
        </is>
      </c>
      <c r="C383" s="6" t="inlineStr">
        <is>
          <t>Grid Connection Agreement</t>
        </is>
      </c>
      <c r="D383" s="9" t="inlineStr">
        <is>
          <t>2025-12-05</t>
        </is>
      </c>
      <c r="E383" s="9" t="inlineStr">
        <is>
          <t>2026-02-17</t>
        </is>
      </c>
      <c r="F383" s="9" t="inlineStr">
        <is>
          <t>2026-02-17</t>
        </is>
      </c>
      <c r="G383" s="6" t="inlineStr">
        <is>
          <t>Complete</t>
        </is>
      </c>
    </row>
    <row r="384">
      <c r="A384" s="6" t="inlineStr">
        <is>
          <t>MS-0383</t>
        </is>
      </c>
      <c r="B384" s="6" t="inlineStr">
        <is>
          <t>PJ-068</t>
        </is>
      </c>
      <c r="C384" s="6" t="inlineStr">
        <is>
          <t>Design Authority Approval</t>
        </is>
      </c>
      <c r="D384" s="9" t="inlineStr">
        <is>
          <t>2026-05-19</t>
        </is>
      </c>
      <c r="E384" s="9" t="inlineStr">
        <is>
          <t>2026-05-27</t>
        </is>
      </c>
      <c r="F384" s="9" t="inlineStr">
        <is>
          <t>2026-05-27</t>
        </is>
      </c>
      <c r="G384" s="6" t="inlineStr">
        <is>
          <t>Complete</t>
        </is>
      </c>
    </row>
    <row r="385">
      <c r="A385" s="6" t="inlineStr">
        <is>
          <t>MS-0384</t>
        </is>
      </c>
      <c r="B385" s="6" t="inlineStr">
        <is>
          <t>PJ-068</t>
        </is>
      </c>
      <c r="C385" s="6" t="inlineStr">
        <is>
          <t>Construction Start</t>
        </is>
      </c>
      <c r="D385" s="9" t="inlineStr">
        <is>
          <t>2026-11-01</t>
        </is>
      </c>
      <c r="E385" s="9" t="inlineStr">
        <is>
          <t>2027-01-16</t>
        </is>
      </c>
      <c r="F385" s="9" t="inlineStr"/>
      <c r="G385" s="6" t="inlineStr">
        <is>
          <t>Planned</t>
        </is>
      </c>
    </row>
    <row r="386">
      <c r="A386" s="6" t="inlineStr">
        <is>
          <t>MS-0385</t>
        </is>
      </c>
      <c r="B386" s="6" t="inlineStr">
        <is>
          <t>PJ-068</t>
        </is>
      </c>
      <c r="C386" s="6" t="inlineStr">
        <is>
          <t>Equipment Installation Complete</t>
        </is>
      </c>
      <c r="D386" s="9" t="inlineStr">
        <is>
          <t>2027-04-15</t>
        </is>
      </c>
      <c r="E386" s="9" t="inlineStr">
        <is>
          <t>2027-07-02</t>
        </is>
      </c>
      <c r="F386" s="9" t="inlineStr"/>
      <c r="G386" s="6" t="inlineStr">
        <is>
          <t>Planned</t>
        </is>
      </c>
    </row>
    <row r="387">
      <c r="A387" s="6" t="inlineStr">
        <is>
          <t>MS-0386</t>
        </is>
      </c>
      <c r="B387" s="6" t="inlineStr">
        <is>
          <t>PJ-068</t>
        </is>
      </c>
      <c r="C387" s="6" t="inlineStr">
        <is>
          <t>Commissioning &amp; Test</t>
        </is>
      </c>
      <c r="D387" s="9" t="inlineStr">
        <is>
          <t>2027-09-28</t>
        </is>
      </c>
      <c r="E387" s="9" t="inlineStr">
        <is>
          <t>2027-10-09</t>
        </is>
      </c>
      <c r="F387" s="9" t="inlineStr"/>
      <c r="G387" s="6" t="inlineStr">
        <is>
          <t>Planned</t>
        </is>
      </c>
    </row>
    <row r="388">
      <c r="A388" s="6" t="inlineStr">
        <is>
          <t>MS-0387</t>
        </is>
      </c>
      <c r="B388" s="6" t="inlineStr">
        <is>
          <t>PJ-069</t>
        </is>
      </c>
      <c r="C388" s="6" t="inlineStr">
        <is>
          <t>Business Case Approved</t>
        </is>
      </c>
      <c r="D388" s="9" t="inlineStr">
        <is>
          <t>2026-02-20</t>
        </is>
      </c>
      <c r="E388" s="9" t="inlineStr">
        <is>
          <t>2026-03-07</t>
        </is>
      </c>
      <c r="F388" s="9" t="inlineStr"/>
      <c r="G388" s="6" t="inlineStr">
        <is>
          <t>Overdue</t>
        </is>
      </c>
    </row>
    <row r="389">
      <c r="A389" s="6" t="inlineStr">
        <is>
          <t>MS-0388</t>
        </is>
      </c>
      <c r="B389" s="6" t="inlineStr">
        <is>
          <t>PJ-069</t>
        </is>
      </c>
      <c r="C389" s="6" t="inlineStr">
        <is>
          <t>Requirements Baselined</t>
        </is>
      </c>
      <c r="D389" s="9" t="inlineStr">
        <is>
          <t>2026-04-21</t>
        </is>
      </c>
      <c r="E389" s="9" t="inlineStr">
        <is>
          <t>2026-04-28</t>
        </is>
      </c>
      <c r="F389" s="9" t="inlineStr">
        <is>
          <t>2026-04-28</t>
        </is>
      </c>
      <c r="G389" s="6" t="inlineStr">
        <is>
          <t>Complete</t>
        </is>
      </c>
    </row>
    <row r="390">
      <c r="A390" s="6" t="inlineStr">
        <is>
          <t>MS-0389</t>
        </is>
      </c>
      <c r="B390" s="6" t="inlineStr">
        <is>
          <t>PJ-069</t>
        </is>
      </c>
      <c r="C390" s="6" t="inlineStr">
        <is>
          <t>Data Sharing Agreement</t>
        </is>
      </c>
      <c r="D390" s="9" t="inlineStr">
        <is>
          <t>2026-06-19</t>
        </is>
      </c>
      <c r="E390" s="9" t="inlineStr">
        <is>
          <t>2026-06-23</t>
        </is>
      </c>
      <c r="F390" s="9" t="inlineStr">
        <is>
          <t>2026-06-23</t>
        </is>
      </c>
      <c r="G390" s="6" t="inlineStr">
        <is>
          <t>Complete</t>
        </is>
      </c>
    </row>
    <row r="391">
      <c r="A391" s="6" t="inlineStr">
        <is>
          <t>MS-0390</t>
        </is>
      </c>
      <c r="B391" s="6" t="inlineStr">
        <is>
          <t>PJ-069</t>
        </is>
      </c>
      <c r="C391" s="6" t="inlineStr">
        <is>
          <t>Model Development Complete</t>
        </is>
      </c>
      <c r="D391" s="9" t="inlineStr">
        <is>
          <t>2026-08-18</t>
        </is>
      </c>
      <c r="E391" s="9" t="inlineStr">
        <is>
          <t>2026-08-16</t>
        </is>
      </c>
      <c r="F391" s="9" t="inlineStr"/>
      <c r="G391" s="6" t="inlineStr">
        <is>
          <t>Planned</t>
        </is>
      </c>
    </row>
    <row r="392">
      <c r="A392" s="6" t="inlineStr">
        <is>
          <t>MS-0391</t>
        </is>
      </c>
      <c r="B392" s="6" t="inlineStr">
        <is>
          <t>PJ-069</t>
        </is>
      </c>
      <c r="C392" s="6" t="inlineStr">
        <is>
          <t>Pilot Live</t>
        </is>
      </c>
      <c r="D392" s="9" t="inlineStr">
        <is>
          <t>2026-10-17</t>
        </is>
      </c>
      <c r="E392" s="9" t="inlineStr">
        <is>
          <t>2026-10-22</t>
        </is>
      </c>
      <c r="F392" s="9" t="inlineStr"/>
      <c r="G392" s="6" t="inlineStr">
        <is>
          <t>Planned</t>
        </is>
      </c>
    </row>
    <row r="393">
      <c r="A393" s="6" t="inlineStr">
        <is>
          <t>MS-0392</t>
        </is>
      </c>
      <c r="B393" s="6" t="inlineStr">
        <is>
          <t>PJ-069</t>
        </is>
      </c>
      <c r="C393" s="6" t="inlineStr">
        <is>
          <t>Scaled Rollout</t>
        </is>
      </c>
      <c r="D393" s="9" t="inlineStr">
        <is>
          <t>2026-12-15</t>
        </is>
      </c>
      <c r="E393" s="9" t="inlineStr">
        <is>
          <t>2026-12-29</t>
        </is>
      </c>
      <c r="F393" s="9" t="inlineStr"/>
      <c r="G393" s="6" t="inlineStr">
        <is>
          <t>Planned</t>
        </is>
      </c>
    </row>
    <row r="394">
      <c r="A394" s="6" t="inlineStr">
        <is>
          <t>MS-0393</t>
        </is>
      </c>
      <c r="B394" s="6" t="inlineStr">
        <is>
          <t>PJ-069</t>
        </is>
      </c>
      <c r="C394" s="6" t="inlineStr">
        <is>
          <t>Benefits Review</t>
        </is>
      </c>
      <c r="D394" s="9" t="inlineStr">
        <is>
          <t>2027-02-13</t>
        </is>
      </c>
      <c r="E394" s="9" t="inlineStr">
        <is>
          <t>2027-02-27</t>
        </is>
      </c>
      <c r="F394" s="9" t="inlineStr"/>
      <c r="G394" s="6" t="inlineStr">
        <is>
          <t>Planned</t>
        </is>
      </c>
    </row>
    <row r="395">
      <c r="A395" s="6" t="inlineStr">
        <is>
          <t>MS-0394</t>
        </is>
      </c>
      <c r="B395" s="6" t="inlineStr">
        <is>
          <t>PJ-070</t>
        </is>
      </c>
      <c r="C395" s="6" t="inlineStr">
        <is>
          <t>Architecture Baselined</t>
        </is>
      </c>
      <c r="D395" s="9" t="inlineStr">
        <is>
          <t>2025-10-24</t>
        </is>
      </c>
      <c r="E395" s="9" t="inlineStr">
        <is>
          <t>2025-11-04</t>
        </is>
      </c>
      <c r="F395" s="9" t="inlineStr">
        <is>
          <t>2025-11-04</t>
        </is>
      </c>
      <c r="G395" s="6" t="inlineStr">
        <is>
          <t>Complete</t>
        </is>
      </c>
    </row>
    <row r="396">
      <c r="A396" s="6" t="inlineStr">
        <is>
          <t>MS-0395</t>
        </is>
      </c>
      <c r="B396" s="6" t="inlineStr">
        <is>
          <t>PJ-070</t>
        </is>
      </c>
      <c r="C396" s="6" t="inlineStr">
        <is>
          <t>Security Accreditation</t>
        </is>
      </c>
      <c r="D396" s="9" t="inlineStr">
        <is>
          <t>2026-01-06</t>
        </is>
      </c>
      <c r="E396" s="9" t="inlineStr">
        <is>
          <t>2026-01-18</t>
        </is>
      </c>
      <c r="F396" s="9" t="inlineStr">
        <is>
          <t>2026-01-18</t>
        </is>
      </c>
      <c r="G396" s="6" t="inlineStr">
        <is>
          <t>Complete</t>
        </is>
      </c>
    </row>
    <row r="397">
      <c r="A397" s="6" t="inlineStr">
        <is>
          <t>MS-0396</t>
        </is>
      </c>
      <c r="B397" s="6" t="inlineStr">
        <is>
          <t>PJ-070</t>
        </is>
      </c>
      <c r="C397" s="6" t="inlineStr">
        <is>
          <t>Evaluation &amp; Red-Team Passed</t>
        </is>
      </c>
      <c r="D397" s="9" t="inlineStr">
        <is>
          <t>2026-03-22</t>
        </is>
      </c>
      <c r="E397" s="9" t="inlineStr">
        <is>
          <t>2026-04-01</t>
        </is>
      </c>
      <c r="F397" s="9" t="inlineStr">
        <is>
          <t>2026-04-01</t>
        </is>
      </c>
      <c r="G397" s="6" t="inlineStr">
        <is>
          <t>Complete</t>
        </is>
      </c>
    </row>
    <row r="398">
      <c r="A398" s="6" t="inlineStr">
        <is>
          <t>MS-0397</t>
        </is>
      </c>
      <c r="B398" s="6" t="inlineStr">
        <is>
          <t>PJ-070</t>
        </is>
      </c>
      <c r="C398" s="6" t="inlineStr">
        <is>
          <t>Production Go-Live</t>
        </is>
      </c>
      <c r="D398" s="9" t="inlineStr">
        <is>
          <t>2026-06-04</t>
        </is>
      </c>
      <c r="E398" s="9" t="inlineStr">
        <is>
          <t>2026-06-09</t>
        </is>
      </c>
      <c r="F398" s="9" t="inlineStr">
        <is>
          <t>2026-06-09</t>
        </is>
      </c>
      <c r="G398" s="6" t="inlineStr">
        <is>
          <t>Complete</t>
        </is>
      </c>
    </row>
    <row r="399">
      <c r="A399" s="6" t="inlineStr">
        <is>
          <t>MS-0398</t>
        </is>
      </c>
      <c r="B399" s="6" t="inlineStr">
        <is>
          <t>PJ-071</t>
        </is>
      </c>
      <c r="C399" s="6" t="inlineStr">
        <is>
          <t>Business Case Approved</t>
        </is>
      </c>
      <c r="D399" s="9" t="inlineStr">
        <is>
          <t>2025-10-14</t>
        </is>
      </c>
      <c r="E399" s="9" t="inlineStr">
        <is>
          <t>2025-10-10</t>
        </is>
      </c>
      <c r="F399" s="9" t="inlineStr">
        <is>
          <t>2025-10-10</t>
        </is>
      </c>
      <c r="G399" s="6" t="inlineStr">
        <is>
          <t>Complete</t>
        </is>
      </c>
    </row>
    <row r="400">
      <c r="A400" s="6" t="inlineStr">
        <is>
          <t>MS-0399</t>
        </is>
      </c>
      <c r="B400" s="6" t="inlineStr">
        <is>
          <t>PJ-071</t>
        </is>
      </c>
      <c r="C400" s="6" t="inlineStr">
        <is>
          <t>Requirements Baselined</t>
        </is>
      </c>
      <c r="D400" s="9" t="inlineStr">
        <is>
          <t>2025-12-18</t>
        </is>
      </c>
      <c r="E400" s="9" t="inlineStr">
        <is>
          <t>2026-01-16</t>
        </is>
      </c>
      <c r="F400" s="9" t="inlineStr"/>
      <c r="G400" s="6" t="inlineStr">
        <is>
          <t>Overdue</t>
        </is>
      </c>
    </row>
    <row r="401">
      <c r="A401" s="6" t="inlineStr">
        <is>
          <t>MS-0400</t>
        </is>
      </c>
      <c r="B401" s="6" t="inlineStr">
        <is>
          <t>PJ-071</t>
        </is>
      </c>
      <c r="C401" s="6" t="inlineStr">
        <is>
          <t>Data Sharing Agreement</t>
        </is>
      </c>
      <c r="D401" s="9" t="inlineStr">
        <is>
          <t>2026-02-20</t>
        </is>
      </c>
      <c r="E401" s="9" t="inlineStr">
        <is>
          <t>2026-04-10</t>
        </is>
      </c>
      <c r="F401" s="9" t="inlineStr">
        <is>
          <t>2026-04-10</t>
        </is>
      </c>
      <c r="G401" s="6" t="inlineStr">
        <is>
          <t>Complete</t>
        </is>
      </c>
    </row>
    <row r="402">
      <c r="A402" s="6" t="inlineStr">
        <is>
          <t>MS-0401</t>
        </is>
      </c>
      <c r="B402" s="6" t="inlineStr">
        <is>
          <t>PJ-071</t>
        </is>
      </c>
      <c r="C402" s="6" t="inlineStr">
        <is>
          <t>Model Development Complete</t>
        </is>
      </c>
      <c r="D402" s="9" t="inlineStr">
        <is>
          <t>2026-04-26</t>
        </is>
      </c>
      <c r="E402" s="9" t="inlineStr">
        <is>
          <t>2026-06-08</t>
        </is>
      </c>
      <c r="F402" s="9" t="inlineStr">
        <is>
          <t>2026-06-08</t>
        </is>
      </c>
      <c r="G402" s="6" t="inlineStr">
        <is>
          <t>Complete</t>
        </is>
      </c>
    </row>
    <row r="403">
      <c r="A403" s="6" t="inlineStr">
        <is>
          <t>MS-0402</t>
        </is>
      </c>
      <c r="B403" s="6" t="inlineStr">
        <is>
          <t>PJ-071</t>
        </is>
      </c>
      <c r="C403" s="6" t="inlineStr">
        <is>
          <t>Pilot Live</t>
        </is>
      </c>
      <c r="D403" s="9" t="inlineStr">
        <is>
          <t>2026-06-29</t>
        </is>
      </c>
      <c r="E403" s="9" t="inlineStr">
        <is>
          <t>2026-07-07</t>
        </is>
      </c>
      <c r="F403" s="9" t="inlineStr">
        <is>
          <t>2026-07-07</t>
        </is>
      </c>
      <c r="G403" s="6" t="inlineStr">
        <is>
          <t>Complete</t>
        </is>
      </c>
    </row>
    <row r="404">
      <c r="A404" s="6" t="inlineStr">
        <is>
          <t>MS-0403</t>
        </is>
      </c>
      <c r="B404" s="6" t="inlineStr">
        <is>
          <t>PJ-071</t>
        </is>
      </c>
      <c r="C404" s="6" t="inlineStr">
        <is>
          <t>Change &amp; Training Complete</t>
        </is>
      </c>
      <c r="D404" s="9" t="inlineStr">
        <is>
          <t>2026-09-02</t>
        </is>
      </c>
      <c r="E404" s="9" t="inlineStr">
        <is>
          <t>2026-10-18</t>
        </is>
      </c>
      <c r="F404" s="9" t="inlineStr"/>
      <c r="G404" s="6" t="inlineStr">
        <is>
          <t>Planned</t>
        </is>
      </c>
    </row>
    <row r="405">
      <c r="A405" s="6" t="inlineStr">
        <is>
          <t>MS-0404</t>
        </is>
      </c>
      <c r="B405" s="6" t="inlineStr">
        <is>
          <t>PJ-071</t>
        </is>
      </c>
      <c r="C405" s="6" t="inlineStr">
        <is>
          <t>Benefits Review</t>
        </is>
      </c>
      <c r="D405" s="9" t="inlineStr">
        <is>
          <t>2026-11-05</t>
        </is>
      </c>
      <c r="E405" s="9" t="inlineStr">
        <is>
          <t>2026-12-19</t>
        </is>
      </c>
      <c r="F405" s="9" t="inlineStr"/>
      <c r="G405" s="6" t="inlineStr">
        <is>
          <t>Planned</t>
        </is>
      </c>
    </row>
    <row r="406">
      <c r="A406" s="6" t="inlineStr">
        <is>
          <t>MS-0405</t>
        </is>
      </c>
      <c r="B406" s="6" t="inlineStr">
        <is>
          <t>PJ-072</t>
        </is>
      </c>
      <c r="C406" s="6" t="inlineStr">
        <is>
          <t>Site Selection Approved</t>
        </is>
      </c>
      <c r="D406" s="9" t="inlineStr">
        <is>
          <t>2026-12-11</t>
        </is>
      </c>
      <c r="E406" s="9" t="inlineStr">
        <is>
          <t>2026-12-27</t>
        </is>
      </c>
      <c r="F406" s="9" t="inlineStr"/>
      <c r="G406" s="6" t="inlineStr">
        <is>
          <t>Planned</t>
        </is>
      </c>
    </row>
    <row r="407">
      <c r="A407" s="6" t="inlineStr">
        <is>
          <t>MS-0406</t>
        </is>
      </c>
      <c r="B407" s="6" t="inlineStr">
        <is>
          <t>PJ-072</t>
        </is>
      </c>
      <c r="C407" s="6" t="inlineStr">
        <is>
          <t>Design Authority Approval</t>
        </is>
      </c>
      <c r="D407" s="9" t="inlineStr">
        <is>
          <t>2027-08-31</t>
        </is>
      </c>
      <c r="E407" s="9" t="inlineStr">
        <is>
          <t>2027-09-12</t>
        </is>
      </c>
      <c r="F407" s="9" t="inlineStr"/>
      <c r="G407" s="6" t="inlineStr">
        <is>
          <t>Planned</t>
        </is>
      </c>
    </row>
    <row r="408">
      <c r="A408" s="6" t="inlineStr">
        <is>
          <t>MS-0407</t>
        </is>
      </c>
      <c r="B408" s="6" t="inlineStr">
        <is>
          <t>PJ-072</t>
        </is>
      </c>
      <c r="C408" s="6" t="inlineStr">
        <is>
          <t>Commissioning &amp; Test</t>
        </is>
      </c>
      <c r="D408" s="9" t="inlineStr">
        <is>
          <t>2028-05-21</t>
        </is>
      </c>
      <c r="E408" s="9" t="inlineStr">
        <is>
          <t>2028-05-18</t>
        </is>
      </c>
      <c r="F408" s="9" t="inlineStr"/>
      <c r="G408" s="6" t="inlineStr">
        <is>
          <t>Planned</t>
        </is>
      </c>
    </row>
    <row r="409">
      <c r="A409" s="6" t="inlineStr">
        <is>
          <t>MS-0408</t>
        </is>
      </c>
      <c r="B409" s="6" t="inlineStr">
        <is>
          <t>PJ-072</t>
        </is>
      </c>
      <c r="C409" s="6" t="inlineStr">
        <is>
          <t>Operational Handover</t>
        </is>
      </c>
      <c r="D409" s="9" t="inlineStr">
        <is>
          <t>2029-02-08</t>
        </is>
      </c>
      <c r="E409" s="9" t="inlineStr">
        <is>
          <t>2029-02-17</t>
        </is>
      </c>
      <c r="F409" s="9" t="inlineStr"/>
      <c r="G409" s="6" t="inlineStr">
        <is>
          <t>Planned</t>
        </is>
      </c>
    </row>
    <row r="410">
      <c r="A410" s="6" t="inlineStr">
        <is>
          <t>MS-0409</t>
        </is>
      </c>
      <c r="B410" s="6" t="inlineStr">
        <is>
          <t>PJ-073</t>
        </is>
      </c>
      <c r="C410" s="6" t="inlineStr">
        <is>
          <t>Pilot Live</t>
        </is>
      </c>
      <c r="D410" s="9" t="inlineStr">
        <is>
          <t>2026-07-07</t>
        </is>
      </c>
      <c r="E410" s="9" t="inlineStr">
        <is>
          <t>2026-07-24</t>
        </is>
      </c>
      <c r="F410" s="9" t="inlineStr">
        <is>
          <t>2026-07-24</t>
        </is>
      </c>
      <c r="G410" s="6" t="inlineStr">
        <is>
          <t>Complete</t>
        </is>
      </c>
    </row>
    <row r="411">
      <c r="A411" s="6" t="inlineStr">
        <is>
          <t>MS-0410</t>
        </is>
      </c>
      <c r="B411" s="6" t="inlineStr">
        <is>
          <t>PJ-073</t>
        </is>
      </c>
      <c r="C411" s="6" t="inlineStr">
        <is>
          <t>Change &amp; Training Complete</t>
        </is>
      </c>
      <c r="D411" s="9" t="inlineStr">
        <is>
          <t>2026-09-16</t>
        </is>
      </c>
      <c r="E411" s="9" t="inlineStr">
        <is>
          <t>2026-09-24</t>
        </is>
      </c>
      <c r="F411" s="9" t="inlineStr"/>
      <c r="G411" s="6" t="inlineStr">
        <is>
          <t>Planned</t>
        </is>
      </c>
    </row>
    <row r="412">
      <c r="A412" s="6" t="inlineStr">
        <is>
          <t>MS-0411</t>
        </is>
      </c>
      <c r="B412" s="6" t="inlineStr">
        <is>
          <t>PJ-073</t>
        </is>
      </c>
      <c r="C412" s="6" t="inlineStr">
        <is>
          <t>Scaled Rollout</t>
        </is>
      </c>
      <c r="D412" s="9" t="inlineStr">
        <is>
          <t>2026-11-26</t>
        </is>
      </c>
      <c r="E412" s="9" t="inlineStr">
        <is>
          <t>2026-12-12</t>
        </is>
      </c>
      <c r="F412" s="9" t="inlineStr"/>
      <c r="G412" s="6" t="inlineStr">
        <is>
          <t>Planned</t>
        </is>
      </c>
    </row>
    <row r="413">
      <c r="A413" s="6" t="inlineStr">
        <is>
          <t>MS-0412</t>
        </is>
      </c>
      <c r="B413" s="6" t="inlineStr">
        <is>
          <t>PJ-073</t>
        </is>
      </c>
      <c r="C413" s="6" t="inlineStr">
        <is>
          <t>Benefits Review</t>
        </is>
      </c>
      <c r="D413" s="9" t="inlineStr">
        <is>
          <t>2027-02-05</t>
        </is>
      </c>
      <c r="E413" s="9" t="inlineStr">
        <is>
          <t>2027-02-07</t>
        </is>
      </c>
      <c r="F413" s="9" t="inlineStr"/>
      <c r="G413" s="6" t="inlineStr">
        <is>
          <t>Planned</t>
        </is>
      </c>
    </row>
    <row r="414">
      <c r="A414" s="6" t="inlineStr">
        <is>
          <t>MS-0413</t>
        </is>
      </c>
      <c r="B414" s="6" t="inlineStr">
        <is>
          <t>PJ-074</t>
        </is>
      </c>
      <c r="C414" s="6" t="inlineStr">
        <is>
          <t>Architecture Baselined</t>
        </is>
      </c>
      <c r="D414" s="9" t="inlineStr">
        <is>
          <t>2026-10-15</t>
        </is>
      </c>
      <c r="E414" s="9" t="inlineStr">
        <is>
          <t>2026-10-30</t>
        </is>
      </c>
      <c r="F414" s="9" t="inlineStr"/>
      <c r="G414" s="6" t="inlineStr">
        <is>
          <t>Planned</t>
        </is>
      </c>
    </row>
    <row r="415">
      <c r="A415" s="6" t="inlineStr">
        <is>
          <t>MS-0414</t>
        </is>
      </c>
      <c r="B415" s="6" t="inlineStr">
        <is>
          <t>PJ-074</t>
        </is>
      </c>
      <c r="C415" s="6" t="inlineStr">
        <is>
          <t>Data Access Agreed</t>
        </is>
      </c>
      <c r="D415" s="9" t="inlineStr">
        <is>
          <t>2027-01-04</t>
        </is>
      </c>
      <c r="E415" s="9" t="inlineStr">
        <is>
          <t>2027-01-11</t>
        </is>
      </c>
      <c r="F415" s="9" t="inlineStr"/>
      <c r="G415" s="6" t="inlineStr">
        <is>
          <t>Planned</t>
        </is>
      </c>
    </row>
    <row r="416">
      <c r="A416" s="6" t="inlineStr">
        <is>
          <t>MS-0415</t>
        </is>
      </c>
      <c r="B416" s="6" t="inlineStr">
        <is>
          <t>PJ-074</t>
        </is>
      </c>
      <c r="C416" s="6" t="inlineStr">
        <is>
          <t>Environment Provisioned</t>
        </is>
      </c>
      <c r="D416" s="9" t="inlineStr">
        <is>
          <t>2027-03-27</t>
        </is>
      </c>
      <c r="E416" s="9" t="inlineStr">
        <is>
          <t>2027-04-03</t>
        </is>
      </c>
      <c r="F416" s="9" t="inlineStr"/>
      <c r="G416" s="6" t="inlineStr">
        <is>
          <t>Planned</t>
        </is>
      </c>
    </row>
    <row r="417">
      <c r="A417" s="6" t="inlineStr">
        <is>
          <t>MS-0416</t>
        </is>
      </c>
      <c r="B417" s="6" t="inlineStr">
        <is>
          <t>PJ-074</t>
        </is>
      </c>
      <c r="C417" s="6" t="inlineStr">
        <is>
          <t>Security Accreditation</t>
        </is>
      </c>
      <c r="D417" s="9" t="inlineStr">
        <is>
          <t>2027-06-16</t>
        </is>
      </c>
      <c r="E417" s="9" t="inlineStr">
        <is>
          <t>2027-06-16</t>
        </is>
      </c>
      <c r="F417" s="9" t="inlineStr"/>
      <c r="G417" s="6" t="inlineStr">
        <is>
          <t>Planned</t>
        </is>
      </c>
    </row>
    <row r="418">
      <c r="A418" s="6" t="inlineStr">
        <is>
          <t>MS-0417</t>
        </is>
      </c>
      <c r="B418" s="6" t="inlineStr">
        <is>
          <t>PJ-074</t>
        </is>
      </c>
      <c r="C418" s="6" t="inlineStr">
        <is>
          <t>Benefits Review</t>
        </is>
      </c>
      <c r="D418" s="9" t="inlineStr">
        <is>
          <t>2027-09-05</t>
        </is>
      </c>
      <c r="E418" s="9" t="inlineStr">
        <is>
          <t>2027-09-08</t>
        </is>
      </c>
      <c r="F418" s="9" t="inlineStr"/>
      <c r="G418" s="6" t="inlineStr">
        <is>
          <t>Planned</t>
        </is>
      </c>
    </row>
    <row r="419">
      <c r="A419" s="6" t="inlineStr">
        <is>
          <t>MS-0418</t>
        </is>
      </c>
      <c r="B419" s="6" t="inlineStr">
        <is>
          <t>PJ-075</t>
        </is>
      </c>
      <c r="C419" s="6" t="inlineStr">
        <is>
          <t>Requirements Baselined</t>
        </is>
      </c>
      <c r="D419" s="9" t="inlineStr">
        <is>
          <t>2026-04-28</t>
        </is>
      </c>
      <c r="E419" s="9" t="inlineStr">
        <is>
          <t>2026-05-03</t>
        </is>
      </c>
      <c r="F419" s="9" t="inlineStr"/>
      <c r="G419" s="6" t="inlineStr">
        <is>
          <t>Overdue</t>
        </is>
      </c>
    </row>
    <row r="420">
      <c r="A420" s="6" t="inlineStr">
        <is>
          <t>MS-0419</t>
        </is>
      </c>
      <c r="B420" s="6" t="inlineStr">
        <is>
          <t>PJ-075</t>
        </is>
      </c>
      <c r="C420" s="6" t="inlineStr">
        <is>
          <t>Data Sharing Agreement</t>
        </is>
      </c>
      <c r="D420" s="9" t="inlineStr">
        <is>
          <t>2026-06-27</t>
        </is>
      </c>
      <c r="E420" s="9" t="inlineStr">
        <is>
          <t>2026-06-29</t>
        </is>
      </c>
      <c r="F420" s="9" t="inlineStr"/>
      <c r="G420" s="6" t="inlineStr">
        <is>
          <t>Overdue</t>
        </is>
      </c>
    </row>
    <row r="421">
      <c r="A421" s="6" t="inlineStr">
        <is>
          <t>MS-0420</t>
        </is>
      </c>
      <c r="B421" s="6" t="inlineStr">
        <is>
          <t>PJ-075</t>
        </is>
      </c>
      <c r="C421" s="6" t="inlineStr">
        <is>
          <t>Model Development Complete</t>
        </is>
      </c>
      <c r="D421" s="9" t="inlineStr">
        <is>
          <t>2026-08-26</t>
        </is>
      </c>
      <c r="E421" s="9" t="inlineStr">
        <is>
          <t>2026-08-24</t>
        </is>
      </c>
      <c r="F421" s="9" t="inlineStr"/>
      <c r="G421" s="6" t="inlineStr">
        <is>
          <t>Planned</t>
        </is>
      </c>
    </row>
    <row r="422">
      <c r="A422" s="6" t="inlineStr">
        <is>
          <t>MS-0421</t>
        </is>
      </c>
      <c r="B422" s="6" t="inlineStr">
        <is>
          <t>PJ-075</t>
        </is>
      </c>
      <c r="C422" s="6" t="inlineStr">
        <is>
          <t>Change &amp; Training Complete</t>
        </is>
      </c>
      <c r="D422" s="9" t="inlineStr">
        <is>
          <t>2026-10-25</t>
        </is>
      </c>
      <c r="E422" s="9" t="inlineStr">
        <is>
          <t>2026-11-02</t>
        </is>
      </c>
      <c r="F422" s="9" t="inlineStr"/>
      <c r="G422" s="6" t="inlineStr">
        <is>
          <t>Planned</t>
        </is>
      </c>
    </row>
    <row r="423">
      <c r="A423" s="6" t="inlineStr">
        <is>
          <t>MS-0422</t>
        </is>
      </c>
      <c r="B423" s="6" t="inlineStr">
        <is>
          <t>PJ-075</t>
        </is>
      </c>
      <c r="C423" s="6" t="inlineStr">
        <is>
          <t>Scaled Rollout</t>
        </is>
      </c>
      <c r="D423" s="9" t="inlineStr">
        <is>
          <t>2026-12-24</t>
        </is>
      </c>
      <c r="E423" s="9" t="inlineStr">
        <is>
          <t>2027-01-01</t>
        </is>
      </c>
      <c r="F423" s="9" t="inlineStr"/>
      <c r="G423" s="6" t="inlineStr">
        <is>
          <t>Planned</t>
        </is>
      </c>
    </row>
    <row r="424">
      <c r="A424" s="6" t="inlineStr">
        <is>
          <t>MS-0423</t>
        </is>
      </c>
      <c r="B424" s="6" t="inlineStr">
        <is>
          <t>PJ-075</t>
        </is>
      </c>
      <c r="C424" s="6" t="inlineStr">
        <is>
          <t>Benefits Review</t>
        </is>
      </c>
      <c r="D424" s="9" t="inlineStr">
        <is>
          <t>2027-02-22</t>
        </is>
      </c>
      <c r="E424" s="9" t="inlineStr">
        <is>
          <t>2027-02-16</t>
        </is>
      </c>
      <c r="F424" s="9" t="inlineStr"/>
      <c r="G424" s="6" t="inlineStr">
        <is>
          <t>Planned</t>
        </is>
      </c>
    </row>
    <row r="425">
      <c r="A425" s="6" t="inlineStr">
        <is>
          <t>MS-0424</t>
        </is>
      </c>
      <c r="B425" s="6" t="inlineStr">
        <is>
          <t>PJ-076</t>
        </is>
      </c>
      <c r="C425" s="6" t="inlineStr">
        <is>
          <t>Business Case Approved</t>
        </is>
      </c>
      <c r="D425" s="9" t="inlineStr">
        <is>
          <t>2026-07-19</t>
        </is>
      </c>
      <c r="E425" s="9" t="inlineStr">
        <is>
          <t>2026-07-27</t>
        </is>
      </c>
      <c r="F425" s="9" t="inlineStr">
        <is>
          <t>2026-07-27</t>
        </is>
      </c>
      <c r="G425" s="6" t="inlineStr">
        <is>
          <t>Complete</t>
        </is>
      </c>
    </row>
    <row r="426">
      <c r="A426" s="6" t="inlineStr">
        <is>
          <t>MS-0425</t>
        </is>
      </c>
      <c r="B426" s="6" t="inlineStr">
        <is>
          <t>PJ-076</t>
        </is>
      </c>
      <c r="C426" s="6" t="inlineStr">
        <is>
          <t>Requirements Baselined</t>
        </is>
      </c>
      <c r="D426" s="9" t="inlineStr">
        <is>
          <t>2026-09-13</t>
        </is>
      </c>
      <c r="E426" s="9" t="inlineStr">
        <is>
          <t>2026-09-15</t>
        </is>
      </c>
      <c r="F426" s="9" t="inlineStr"/>
      <c r="G426" s="6" t="inlineStr">
        <is>
          <t>Planned</t>
        </is>
      </c>
    </row>
    <row r="427">
      <c r="A427" s="6" t="inlineStr">
        <is>
          <t>MS-0426</t>
        </is>
      </c>
      <c r="B427" s="6" t="inlineStr">
        <is>
          <t>PJ-076</t>
        </is>
      </c>
      <c r="C427" s="6" t="inlineStr">
        <is>
          <t>Data Sharing Agreement</t>
        </is>
      </c>
      <c r="D427" s="9" t="inlineStr">
        <is>
          <t>2026-11-07</t>
        </is>
      </c>
      <c r="E427" s="9" t="inlineStr">
        <is>
          <t>2026-11-04</t>
        </is>
      </c>
      <c r="F427" s="9" t="inlineStr"/>
      <c r="G427" s="6" t="inlineStr">
        <is>
          <t>Planned</t>
        </is>
      </c>
    </row>
    <row r="428">
      <c r="A428" s="6" t="inlineStr">
        <is>
          <t>MS-0427</t>
        </is>
      </c>
      <c r="B428" s="6" t="inlineStr">
        <is>
          <t>PJ-076</t>
        </is>
      </c>
      <c r="C428" s="6" t="inlineStr">
        <is>
          <t>Pilot Live</t>
        </is>
      </c>
      <c r="D428" s="9" t="inlineStr">
        <is>
          <t>2027-01-02</t>
        </is>
      </c>
      <c r="E428" s="9" t="inlineStr">
        <is>
          <t>2027-01-18</t>
        </is>
      </c>
      <c r="F428" s="9" t="inlineStr"/>
      <c r="G428" s="6" t="inlineStr">
        <is>
          <t>Planned</t>
        </is>
      </c>
    </row>
    <row r="429">
      <c r="A429" s="6" t="inlineStr">
        <is>
          <t>MS-0428</t>
        </is>
      </c>
      <c r="B429" s="6" t="inlineStr">
        <is>
          <t>PJ-076</t>
        </is>
      </c>
      <c r="C429" s="6" t="inlineStr">
        <is>
          <t>Change &amp; Training Complete</t>
        </is>
      </c>
      <c r="D429" s="9" t="inlineStr">
        <is>
          <t>2027-02-26</t>
        </is>
      </c>
      <c r="E429" s="9" t="inlineStr">
        <is>
          <t>2027-02-20</t>
        </is>
      </c>
      <c r="F429" s="9" t="inlineStr"/>
      <c r="G429" s="6" t="inlineStr">
        <is>
          <t>Planned</t>
        </is>
      </c>
    </row>
    <row r="430">
      <c r="A430" s="6" t="inlineStr">
        <is>
          <t>MS-0429</t>
        </is>
      </c>
      <c r="B430" s="6" t="inlineStr">
        <is>
          <t>PJ-076</t>
        </is>
      </c>
      <c r="C430" s="6" t="inlineStr">
        <is>
          <t>Scaled Rollout</t>
        </is>
      </c>
      <c r="D430" s="9" t="inlineStr">
        <is>
          <t>2027-04-23</t>
        </is>
      </c>
      <c r="E430" s="9" t="inlineStr">
        <is>
          <t>2027-04-20</t>
        </is>
      </c>
      <c r="F430" s="9" t="inlineStr"/>
      <c r="G430" s="6" t="inlineStr">
        <is>
          <t>Planned</t>
        </is>
      </c>
    </row>
    <row r="431">
      <c r="A431" s="6" t="inlineStr">
        <is>
          <t>MS-0430</t>
        </is>
      </c>
      <c r="B431" s="6" t="inlineStr">
        <is>
          <t>PJ-076</t>
        </is>
      </c>
      <c r="C431" s="6" t="inlineStr">
        <is>
          <t>Benefits Review</t>
        </is>
      </c>
      <c r="D431" s="9" t="inlineStr">
        <is>
          <t>2027-06-17</t>
        </is>
      </c>
      <c r="E431" s="9" t="inlineStr">
        <is>
          <t>2027-06-28</t>
        </is>
      </c>
      <c r="F431" s="9" t="inlineStr"/>
      <c r="G431" s="6" t="inlineStr">
        <is>
          <t>Planned</t>
        </is>
      </c>
    </row>
    <row r="432">
      <c r="A432" s="6" t="inlineStr">
        <is>
          <t>MS-0431</t>
        </is>
      </c>
      <c r="B432" s="6" t="inlineStr">
        <is>
          <t>PJ-077</t>
        </is>
      </c>
      <c r="C432" s="6" t="inlineStr">
        <is>
          <t>Site Selection Approved</t>
        </is>
      </c>
      <c r="D432" s="9" t="inlineStr">
        <is>
          <t>2026-06-13</t>
        </is>
      </c>
      <c r="E432" s="9" t="inlineStr">
        <is>
          <t>2026-06-14</t>
        </is>
      </c>
      <c r="F432" s="9" t="inlineStr">
        <is>
          <t>2026-06-14</t>
        </is>
      </c>
      <c r="G432" s="6" t="inlineStr">
        <is>
          <t>Complete</t>
        </is>
      </c>
    </row>
    <row r="433">
      <c r="A433" s="6" t="inlineStr">
        <is>
          <t>MS-0432</t>
        </is>
      </c>
      <c r="B433" s="6" t="inlineStr">
        <is>
          <t>PJ-077</t>
        </is>
      </c>
      <c r="C433" s="6" t="inlineStr">
        <is>
          <t>Land &amp; Permits Secured</t>
        </is>
      </c>
      <c r="D433" s="9" t="inlineStr">
        <is>
          <t>2027-01-21</t>
        </is>
      </c>
      <c r="E433" s="9" t="inlineStr">
        <is>
          <t>2027-01-25</t>
        </is>
      </c>
      <c r="F433" s="9" t="inlineStr"/>
      <c r="G433" s="6" t="inlineStr">
        <is>
          <t>Planned</t>
        </is>
      </c>
    </row>
    <row r="434">
      <c r="A434" s="6" t="inlineStr">
        <is>
          <t>MS-0433</t>
        </is>
      </c>
      <c r="B434" s="6" t="inlineStr">
        <is>
          <t>PJ-077</t>
        </is>
      </c>
      <c r="C434" s="6" t="inlineStr">
        <is>
          <t>Grid Connection Agreement</t>
        </is>
      </c>
      <c r="D434" s="9" t="inlineStr">
        <is>
          <t>2027-08-31</t>
        </is>
      </c>
      <c r="E434" s="9" t="inlineStr">
        <is>
          <t>2027-09-13</t>
        </is>
      </c>
      <c r="F434" s="9" t="inlineStr"/>
      <c r="G434" s="6" t="inlineStr">
        <is>
          <t>Planned</t>
        </is>
      </c>
    </row>
    <row r="435">
      <c r="A435" s="6" t="inlineStr">
        <is>
          <t>MS-0434</t>
        </is>
      </c>
      <c r="B435" s="6" t="inlineStr">
        <is>
          <t>PJ-077</t>
        </is>
      </c>
      <c r="C435" s="6" t="inlineStr">
        <is>
          <t>Construction Start</t>
        </is>
      </c>
      <c r="D435" s="9" t="inlineStr">
        <is>
          <t>2028-04-09</t>
        </is>
      </c>
      <c r="E435" s="9" t="inlineStr">
        <is>
          <t>2028-04-05</t>
        </is>
      </c>
      <c r="F435" s="9" t="inlineStr"/>
      <c r="G435" s="6" t="inlineStr">
        <is>
          <t>Planned</t>
        </is>
      </c>
    </row>
    <row r="436">
      <c r="A436" s="6" t="inlineStr">
        <is>
          <t>MS-0435</t>
        </is>
      </c>
      <c r="B436" s="6" t="inlineStr">
        <is>
          <t>PJ-078</t>
        </is>
      </c>
      <c r="C436" s="6" t="inlineStr">
        <is>
          <t>Business Case Approved</t>
        </is>
      </c>
      <c r="D436" s="9" t="inlineStr">
        <is>
          <t>2026-03-02</t>
        </is>
      </c>
      <c r="E436" s="9" t="inlineStr">
        <is>
          <t>2026-03-06</t>
        </is>
      </c>
      <c r="F436" s="9" t="inlineStr">
        <is>
          <t>2026-03-06</t>
        </is>
      </c>
      <c r="G436" s="6" t="inlineStr">
        <is>
          <t>Complete</t>
        </is>
      </c>
    </row>
    <row r="437">
      <c r="A437" s="6" t="inlineStr">
        <is>
          <t>MS-0436</t>
        </is>
      </c>
      <c r="B437" s="6" t="inlineStr">
        <is>
          <t>PJ-078</t>
        </is>
      </c>
      <c r="C437" s="6" t="inlineStr">
        <is>
          <t>Requirements Baselined</t>
        </is>
      </c>
      <c r="D437" s="9" t="inlineStr">
        <is>
          <t>2026-04-15</t>
        </is>
      </c>
      <c r="E437" s="9" t="inlineStr">
        <is>
          <t>2026-04-14</t>
        </is>
      </c>
      <c r="F437" s="9" t="inlineStr">
        <is>
          <t>2026-04-14</t>
        </is>
      </c>
      <c r="G437" s="6" t="inlineStr">
        <is>
          <t>Complete</t>
        </is>
      </c>
    </row>
    <row r="438">
      <c r="A438" s="6" t="inlineStr">
        <is>
          <t>MS-0437</t>
        </is>
      </c>
      <c r="B438" s="6" t="inlineStr">
        <is>
          <t>PJ-078</t>
        </is>
      </c>
      <c r="C438" s="6" t="inlineStr">
        <is>
          <t>Model Development Complete</t>
        </is>
      </c>
      <c r="D438" s="9" t="inlineStr">
        <is>
          <t>2026-05-29</t>
        </is>
      </c>
      <c r="E438" s="9" t="inlineStr">
        <is>
          <t>2026-06-01</t>
        </is>
      </c>
      <c r="F438" s="9" t="inlineStr">
        <is>
          <t>2026-06-01</t>
        </is>
      </c>
      <c r="G438" s="6" t="inlineStr">
        <is>
          <t>Complete</t>
        </is>
      </c>
    </row>
    <row r="439">
      <c r="A439" s="6" t="inlineStr">
        <is>
          <t>MS-0438</t>
        </is>
      </c>
      <c r="B439" s="6" t="inlineStr">
        <is>
          <t>PJ-078</t>
        </is>
      </c>
      <c r="C439" s="6" t="inlineStr">
        <is>
          <t>Pilot Live</t>
        </is>
      </c>
      <c r="D439" s="9" t="inlineStr">
        <is>
          <t>2026-07-13</t>
        </is>
      </c>
      <c r="E439" s="9" t="inlineStr">
        <is>
          <t>2026-07-27</t>
        </is>
      </c>
      <c r="F439" s="9" t="inlineStr">
        <is>
          <t>2026-07-27</t>
        </is>
      </c>
      <c r="G439" s="6" t="inlineStr">
        <is>
          <t>Complete</t>
        </is>
      </c>
    </row>
    <row r="440">
      <c r="A440" s="6" t="inlineStr">
        <is>
          <t>MS-0439</t>
        </is>
      </c>
      <c r="B440" s="6" t="inlineStr">
        <is>
          <t>PJ-078</t>
        </is>
      </c>
      <c r="C440" s="6" t="inlineStr">
        <is>
          <t>Change &amp; Training Complete</t>
        </is>
      </c>
      <c r="D440" s="9" t="inlineStr">
        <is>
          <t>2026-08-26</t>
        </is>
      </c>
      <c r="E440" s="9" t="inlineStr">
        <is>
          <t>2026-09-07</t>
        </is>
      </c>
      <c r="F440" s="9" t="inlineStr"/>
      <c r="G440" s="6" t="inlineStr">
        <is>
          <t>Planned</t>
        </is>
      </c>
    </row>
    <row r="441">
      <c r="A441" s="6" t="inlineStr">
        <is>
          <t>MS-0440</t>
        </is>
      </c>
      <c r="B441" s="6" t="inlineStr">
        <is>
          <t>PJ-078</t>
        </is>
      </c>
      <c r="C441" s="6" t="inlineStr">
        <is>
          <t>Scaled Rollout</t>
        </is>
      </c>
      <c r="D441" s="9" t="inlineStr">
        <is>
          <t>2026-10-09</t>
        </is>
      </c>
      <c r="E441" s="9" t="inlineStr">
        <is>
          <t>2026-10-25</t>
        </is>
      </c>
      <c r="F441" s="9" t="inlineStr"/>
      <c r="G441" s="6" t="inlineStr">
        <is>
          <t>Planned</t>
        </is>
      </c>
    </row>
    <row r="442">
      <c r="A442" s="6" t="inlineStr">
        <is>
          <t>MS-0441</t>
        </is>
      </c>
      <c r="B442" s="6" t="inlineStr">
        <is>
          <t>PJ-078</t>
        </is>
      </c>
      <c r="C442" s="6" t="inlineStr">
        <is>
          <t>Benefits Review</t>
        </is>
      </c>
      <c r="D442" s="9" t="inlineStr">
        <is>
          <t>2026-11-22</t>
        </is>
      </c>
      <c r="E442" s="9" t="inlineStr">
        <is>
          <t>2026-12-03</t>
        </is>
      </c>
      <c r="F442" s="9" t="inlineStr"/>
      <c r="G442" s="6" t="inlineStr">
        <is>
          <t>Planned</t>
        </is>
      </c>
    </row>
    <row r="443">
      <c r="A443" s="6" t="inlineStr">
        <is>
          <t>MS-0442</t>
        </is>
      </c>
      <c r="B443" s="6" t="inlineStr">
        <is>
          <t>PJ-079</t>
        </is>
      </c>
      <c r="C443" s="6" t="inlineStr">
        <is>
          <t>Business Case Approved</t>
        </is>
      </c>
      <c r="D443" s="9" t="inlineStr">
        <is>
          <t>2026-09-12</t>
        </is>
      </c>
      <c r="E443" s="9" t="inlineStr">
        <is>
          <t>2026-10-02</t>
        </is>
      </c>
      <c r="F443" s="9" t="inlineStr"/>
      <c r="G443" s="6" t="inlineStr">
        <is>
          <t>Planned</t>
        </is>
      </c>
    </row>
    <row r="444">
      <c r="A444" s="6" t="inlineStr">
        <is>
          <t>MS-0443</t>
        </is>
      </c>
      <c r="B444" s="6" t="inlineStr">
        <is>
          <t>PJ-079</t>
        </is>
      </c>
      <c r="C444" s="6" t="inlineStr">
        <is>
          <t>Model Development Complete</t>
        </is>
      </c>
      <c r="D444" s="9" t="inlineStr">
        <is>
          <t>2026-11-06</t>
        </is>
      </c>
      <c r="E444" s="9" t="inlineStr">
        <is>
          <t>2026-11-05</t>
        </is>
      </c>
      <c r="F444" s="9" t="inlineStr"/>
      <c r="G444" s="6" t="inlineStr">
        <is>
          <t>Planned</t>
        </is>
      </c>
    </row>
    <row r="445">
      <c r="A445" s="6" t="inlineStr">
        <is>
          <t>MS-0444</t>
        </is>
      </c>
      <c r="B445" s="6" t="inlineStr">
        <is>
          <t>PJ-079</t>
        </is>
      </c>
      <c r="C445" s="6" t="inlineStr">
        <is>
          <t>Pilot Live</t>
        </is>
      </c>
      <c r="D445" s="9" t="inlineStr">
        <is>
          <t>2027-01-01</t>
        </is>
      </c>
      <c r="E445" s="9" t="inlineStr">
        <is>
          <t>2027-01-25</t>
        </is>
      </c>
      <c r="F445" s="9" t="inlineStr"/>
      <c r="G445" s="6" t="inlineStr">
        <is>
          <t>Planned</t>
        </is>
      </c>
    </row>
    <row r="446">
      <c r="A446" s="6" t="inlineStr">
        <is>
          <t>MS-0445</t>
        </is>
      </c>
      <c r="B446" s="6" t="inlineStr">
        <is>
          <t>PJ-079</t>
        </is>
      </c>
      <c r="C446" s="6" t="inlineStr">
        <is>
          <t>Scaled Rollout</t>
        </is>
      </c>
      <c r="D446" s="9" t="inlineStr">
        <is>
          <t>2027-02-25</t>
        </is>
      </c>
      <c r="E446" s="9" t="inlineStr">
        <is>
          <t>2027-03-22</t>
        </is>
      </c>
      <c r="F446" s="9" t="inlineStr"/>
      <c r="G446" s="6" t="inlineStr">
        <is>
          <t>Planned</t>
        </is>
      </c>
    </row>
    <row r="447">
      <c r="A447" s="6" t="inlineStr">
        <is>
          <t>MS-0446</t>
        </is>
      </c>
      <c r="B447" s="6" t="inlineStr">
        <is>
          <t>PJ-080</t>
        </is>
      </c>
      <c r="C447" s="6" t="inlineStr">
        <is>
          <t>Business Case Approved</t>
        </is>
      </c>
      <c r="D447" s="9" t="inlineStr">
        <is>
          <t>2026-02-26</t>
        </is>
      </c>
      <c r="E447" s="9" t="inlineStr">
        <is>
          <t>2026-02-21</t>
        </is>
      </c>
      <c r="F447" s="9" t="inlineStr">
        <is>
          <t>2026-02-21</t>
        </is>
      </c>
      <c r="G447" s="6" t="inlineStr">
        <is>
          <t>Complete</t>
        </is>
      </c>
    </row>
    <row r="448">
      <c r="A448" s="6" t="inlineStr">
        <is>
          <t>MS-0447</t>
        </is>
      </c>
      <c r="B448" s="6" t="inlineStr">
        <is>
          <t>PJ-080</t>
        </is>
      </c>
      <c r="C448" s="6" t="inlineStr">
        <is>
          <t>Requirements Baselined</t>
        </is>
      </c>
      <c r="D448" s="9" t="inlineStr">
        <is>
          <t>2026-04-12</t>
        </is>
      </c>
      <c r="E448" s="9" t="inlineStr">
        <is>
          <t>2026-04-21</t>
        </is>
      </c>
      <c r="F448" s="9" t="inlineStr">
        <is>
          <t>2026-04-21</t>
        </is>
      </c>
      <c r="G448" s="6" t="inlineStr">
        <is>
          <t>Complete</t>
        </is>
      </c>
    </row>
    <row r="449">
      <c r="A449" s="6" t="inlineStr">
        <is>
          <t>MS-0448</t>
        </is>
      </c>
      <c r="B449" s="6" t="inlineStr">
        <is>
          <t>PJ-080</t>
        </is>
      </c>
      <c r="C449" s="6" t="inlineStr">
        <is>
          <t>Data Sharing Agreement</t>
        </is>
      </c>
      <c r="D449" s="9" t="inlineStr">
        <is>
          <t>2026-05-27</t>
        </is>
      </c>
      <c r="E449" s="9" t="inlineStr">
        <is>
          <t>2026-05-28</t>
        </is>
      </c>
      <c r="F449" s="9" t="inlineStr">
        <is>
          <t>2026-05-28</t>
        </is>
      </c>
      <c r="G449" s="6" t="inlineStr">
        <is>
          <t>Complete</t>
        </is>
      </c>
    </row>
    <row r="450">
      <c r="A450" s="6" t="inlineStr">
        <is>
          <t>MS-0449</t>
        </is>
      </c>
      <c r="B450" s="6" t="inlineStr">
        <is>
          <t>PJ-080</t>
        </is>
      </c>
      <c r="C450" s="6" t="inlineStr">
        <is>
          <t>Model Development Complete</t>
        </is>
      </c>
      <c r="D450" s="9" t="inlineStr">
        <is>
          <t>2026-07-12</t>
        </is>
      </c>
      <c r="E450" s="9" t="inlineStr">
        <is>
          <t>2026-07-22</t>
        </is>
      </c>
      <c r="F450" s="9" t="inlineStr">
        <is>
          <t>2026-07-22</t>
        </is>
      </c>
      <c r="G450" s="6" t="inlineStr">
        <is>
          <t>Complete</t>
        </is>
      </c>
    </row>
    <row r="451">
      <c r="A451" s="6" t="inlineStr">
        <is>
          <t>MS-0450</t>
        </is>
      </c>
      <c r="B451" s="6" t="inlineStr">
        <is>
          <t>PJ-080</t>
        </is>
      </c>
      <c r="C451" s="6" t="inlineStr">
        <is>
          <t>Pilot Live</t>
        </is>
      </c>
      <c r="D451" s="9" t="inlineStr">
        <is>
          <t>2026-08-26</t>
        </is>
      </c>
      <c r="E451" s="9" t="inlineStr">
        <is>
          <t>2026-08-22</t>
        </is>
      </c>
      <c r="F451" s="9" t="inlineStr"/>
      <c r="G451" s="6" t="inlineStr">
        <is>
          <t>Planned</t>
        </is>
      </c>
    </row>
    <row r="452">
      <c r="A452" s="6" t="inlineStr">
        <is>
          <t>MS-0451</t>
        </is>
      </c>
      <c r="B452" s="6" t="inlineStr">
        <is>
          <t>PJ-080</t>
        </is>
      </c>
      <c r="C452" s="6" t="inlineStr">
        <is>
          <t>Change &amp; Training Complete</t>
        </is>
      </c>
      <c r="D452" s="9" t="inlineStr">
        <is>
          <t>2026-10-10</t>
        </is>
      </c>
      <c r="E452" s="9" t="inlineStr">
        <is>
          <t>2026-10-07</t>
        </is>
      </c>
      <c r="F452" s="9" t="inlineStr"/>
      <c r="G452" s="6" t="inlineStr">
        <is>
          <t>Planned</t>
        </is>
      </c>
    </row>
    <row r="453">
      <c r="A453" s="6" t="inlineStr">
        <is>
          <t>MS-0452</t>
        </is>
      </c>
      <c r="B453" s="6" t="inlineStr">
        <is>
          <t>PJ-080</t>
        </is>
      </c>
      <c r="C453" s="6" t="inlineStr">
        <is>
          <t>Scaled Rollout</t>
        </is>
      </c>
      <c r="D453" s="9" t="inlineStr">
        <is>
          <t>2026-11-24</t>
        </is>
      </c>
      <c r="E453" s="9" t="inlineStr">
        <is>
          <t>2026-11-26</t>
        </is>
      </c>
      <c r="F453" s="9" t="inlineStr"/>
      <c r="G453" s="6" t="inlineStr">
        <is>
          <t>Planned</t>
        </is>
      </c>
    </row>
    <row r="454">
      <c r="A454" s="6" t="inlineStr">
        <is>
          <t>MS-0453</t>
        </is>
      </c>
      <c r="B454" s="6" t="inlineStr">
        <is>
          <t>PJ-081</t>
        </is>
      </c>
      <c r="C454" s="6" t="inlineStr">
        <is>
          <t>Architecture Baselined</t>
        </is>
      </c>
      <c r="D454" s="9" t="inlineStr">
        <is>
          <t>2025-12-03</t>
        </is>
      </c>
      <c r="E454" s="9" t="inlineStr">
        <is>
          <t>2025-12-05</t>
        </is>
      </c>
      <c r="F454" s="9" t="inlineStr">
        <is>
          <t>2025-12-05</t>
        </is>
      </c>
      <c r="G454" s="6" t="inlineStr">
        <is>
          <t>Complete</t>
        </is>
      </c>
    </row>
    <row r="455">
      <c r="A455" s="6" t="inlineStr">
        <is>
          <t>MS-0454</t>
        </is>
      </c>
      <c r="B455" s="6" t="inlineStr">
        <is>
          <t>PJ-081</t>
        </is>
      </c>
      <c r="C455" s="6" t="inlineStr">
        <is>
          <t>Environment Provisioned</t>
        </is>
      </c>
      <c r="D455" s="9" t="inlineStr">
        <is>
          <t>2026-01-28</t>
        </is>
      </c>
      <c r="E455" s="9" t="inlineStr">
        <is>
          <t>2026-02-06</t>
        </is>
      </c>
      <c r="F455" s="9" t="inlineStr">
        <is>
          <t>2026-02-06</t>
        </is>
      </c>
      <c r="G455" s="6" t="inlineStr">
        <is>
          <t>Complete</t>
        </is>
      </c>
    </row>
    <row r="456">
      <c r="A456" s="6" t="inlineStr">
        <is>
          <t>MS-0455</t>
        </is>
      </c>
      <c r="B456" s="6" t="inlineStr">
        <is>
          <t>PJ-081</t>
        </is>
      </c>
      <c r="C456" s="6" t="inlineStr">
        <is>
          <t>Build Complete</t>
        </is>
      </c>
      <c r="D456" s="9" t="inlineStr">
        <is>
          <t>2026-03-25</t>
        </is>
      </c>
      <c r="E456" s="9" t="inlineStr">
        <is>
          <t>2026-04-07</t>
        </is>
      </c>
      <c r="F456" s="9" t="inlineStr">
        <is>
          <t>2026-04-07</t>
        </is>
      </c>
      <c r="G456" s="6" t="inlineStr">
        <is>
          <t>Complete</t>
        </is>
      </c>
    </row>
    <row r="457">
      <c r="A457" s="6" t="inlineStr">
        <is>
          <t>MS-0456</t>
        </is>
      </c>
      <c r="B457" s="6" t="inlineStr">
        <is>
          <t>PJ-081</t>
        </is>
      </c>
      <c r="C457" s="6" t="inlineStr">
        <is>
          <t>Security Accreditation</t>
        </is>
      </c>
      <c r="D457" s="9" t="inlineStr">
        <is>
          <t>2026-05-20</t>
        </is>
      </c>
      <c r="E457" s="9" t="inlineStr">
        <is>
          <t>2026-05-31</t>
        </is>
      </c>
      <c r="F457" s="9" t="inlineStr">
        <is>
          <t>2026-05-31</t>
        </is>
      </c>
      <c r="G457" s="6" t="inlineStr">
        <is>
          <t>Complete</t>
        </is>
      </c>
    </row>
    <row r="458">
      <c r="A458" s="6" t="inlineStr">
        <is>
          <t>MS-0457</t>
        </is>
      </c>
      <c r="B458" s="6" t="inlineStr">
        <is>
          <t>PJ-081</t>
        </is>
      </c>
      <c r="C458" s="6" t="inlineStr">
        <is>
          <t>Evaluation &amp; Red-Team Passed</t>
        </is>
      </c>
      <c r="D458" s="9" t="inlineStr">
        <is>
          <t>2026-07-15</t>
        </is>
      </c>
      <c r="E458" s="9" t="inlineStr">
        <is>
          <t>2026-07-18</t>
        </is>
      </c>
      <c r="F458" s="9" t="inlineStr">
        <is>
          <t>2026-07-18</t>
        </is>
      </c>
      <c r="G458" s="6" t="inlineStr">
        <is>
          <t>Complete</t>
        </is>
      </c>
    </row>
    <row r="459">
      <c r="A459" s="6" t="inlineStr">
        <is>
          <t>MS-0458</t>
        </is>
      </c>
      <c r="B459" s="6" t="inlineStr">
        <is>
          <t>PJ-081</t>
        </is>
      </c>
      <c r="C459" s="6" t="inlineStr">
        <is>
          <t>Production Go-Live</t>
        </is>
      </c>
      <c r="D459" s="9" t="inlineStr">
        <is>
          <t>2026-09-09</t>
        </is>
      </c>
      <c r="E459" s="9" t="inlineStr">
        <is>
          <t>2026-09-18</t>
        </is>
      </c>
      <c r="F459" s="9" t="inlineStr"/>
      <c r="G459" s="6" t="inlineStr">
        <is>
          <t>Planned</t>
        </is>
      </c>
    </row>
    <row r="460">
      <c r="A460" s="6" t="inlineStr">
        <is>
          <t>MS-0459</t>
        </is>
      </c>
      <c r="B460" s="6" t="inlineStr">
        <is>
          <t>PJ-081</t>
        </is>
      </c>
      <c r="C460" s="6" t="inlineStr">
        <is>
          <t>Benefits Review</t>
        </is>
      </c>
      <c r="D460" s="9" t="inlineStr">
        <is>
          <t>2026-11-04</t>
        </is>
      </c>
      <c r="E460" s="9" t="inlineStr">
        <is>
          <t>2026-11-06</t>
        </is>
      </c>
      <c r="F460" s="9" t="inlineStr"/>
      <c r="G460" s="6" t="inlineStr">
        <is>
          <t>Planned</t>
        </is>
      </c>
    </row>
    <row r="461">
      <c r="A461" s="6" t="inlineStr">
        <is>
          <t>MS-0460</t>
        </is>
      </c>
      <c r="B461" s="6" t="inlineStr">
        <is>
          <t>PJ-082</t>
        </is>
      </c>
      <c r="C461" s="6" t="inlineStr">
        <is>
          <t>Data Sharing Agreement</t>
        </is>
      </c>
      <c r="D461" s="9" t="inlineStr">
        <is>
          <t>2026-06-16</t>
        </is>
      </c>
      <c r="E461" s="9" t="inlineStr">
        <is>
          <t>2026-06-24</t>
        </is>
      </c>
      <c r="F461" s="9" t="inlineStr">
        <is>
          <t>2026-06-24</t>
        </is>
      </c>
      <c r="G461" s="6" t="inlineStr">
        <is>
          <t>Complete</t>
        </is>
      </c>
    </row>
    <row r="462">
      <c r="A462" s="6" t="inlineStr">
        <is>
          <t>MS-0461</t>
        </is>
      </c>
      <c r="B462" s="6" t="inlineStr">
        <is>
          <t>PJ-082</t>
        </is>
      </c>
      <c r="C462" s="6" t="inlineStr">
        <is>
          <t>Model Development Complete</t>
        </is>
      </c>
      <c r="D462" s="9" t="inlineStr">
        <is>
          <t>2026-07-12</t>
        </is>
      </c>
      <c r="E462" s="9" t="inlineStr">
        <is>
          <t>2026-07-23</t>
        </is>
      </c>
      <c r="F462" s="9" t="inlineStr">
        <is>
          <t>2026-07-23</t>
        </is>
      </c>
      <c r="G462" s="6" t="inlineStr">
        <is>
          <t>Complete</t>
        </is>
      </c>
    </row>
    <row r="463">
      <c r="A463" s="6" t="inlineStr">
        <is>
          <t>MS-0462</t>
        </is>
      </c>
      <c r="B463" s="6" t="inlineStr">
        <is>
          <t>PJ-082</t>
        </is>
      </c>
      <c r="C463" s="6" t="inlineStr">
        <is>
          <t>Pilot Live</t>
        </is>
      </c>
      <c r="D463" s="9" t="inlineStr">
        <is>
          <t>2026-08-07</t>
        </is>
      </c>
      <c r="E463" s="9" t="inlineStr">
        <is>
          <t>2026-08-06</t>
        </is>
      </c>
      <c r="F463" s="9" t="inlineStr">
        <is>
          <t>2026-08-06</t>
        </is>
      </c>
      <c r="G463" s="6" t="inlineStr">
        <is>
          <t>Complete</t>
        </is>
      </c>
    </row>
    <row r="464">
      <c r="A464" s="6" t="inlineStr">
        <is>
          <t>MS-0463</t>
        </is>
      </c>
      <c r="B464" s="6" t="inlineStr">
        <is>
          <t>PJ-082</t>
        </is>
      </c>
      <c r="C464" s="6" t="inlineStr">
        <is>
          <t>Change &amp; Training Complete</t>
        </is>
      </c>
      <c r="D464" s="9" t="inlineStr">
        <is>
          <t>2026-09-02</t>
        </is>
      </c>
      <c r="E464" s="9" t="inlineStr">
        <is>
          <t>2026-09-03</t>
        </is>
      </c>
      <c r="F464" s="9" t="inlineStr"/>
      <c r="G464" s="6" t="inlineStr">
        <is>
          <t>Planned</t>
        </is>
      </c>
    </row>
    <row r="465">
      <c r="A465" s="6" t="inlineStr">
        <is>
          <t>MS-0464</t>
        </is>
      </c>
      <c r="B465" s="6" t="inlineStr">
        <is>
          <t>PJ-082</t>
        </is>
      </c>
      <c r="C465" s="6" t="inlineStr">
        <is>
          <t>Scaled Rollout</t>
        </is>
      </c>
      <c r="D465" s="9" t="inlineStr">
        <is>
          <t>2026-09-28</t>
        </is>
      </c>
      <c r="E465" s="9" t="inlineStr">
        <is>
          <t>2026-10-04</t>
        </is>
      </c>
      <c r="F465" s="9" t="inlineStr"/>
      <c r="G465" s="6" t="inlineStr">
        <is>
          <t>Planned</t>
        </is>
      </c>
    </row>
    <row r="466">
      <c r="A466" s="6" t="inlineStr">
        <is>
          <t>MS-0465</t>
        </is>
      </c>
      <c r="B466" s="6" t="inlineStr">
        <is>
          <t>PJ-083</t>
        </is>
      </c>
      <c r="C466" s="6" t="inlineStr">
        <is>
          <t>Model Development Complete</t>
        </is>
      </c>
      <c r="D466" s="9" t="inlineStr">
        <is>
          <t>2025-10-22</t>
        </is>
      </c>
      <c r="E466" s="9" t="inlineStr">
        <is>
          <t>2025-11-12</t>
        </is>
      </c>
      <c r="F466" s="9" t="inlineStr">
        <is>
          <t>2025-11-12</t>
        </is>
      </c>
      <c r="G466" s="6" t="inlineStr">
        <is>
          <t>Complete</t>
        </is>
      </c>
    </row>
    <row r="467">
      <c r="A467" s="6" t="inlineStr">
        <is>
          <t>MS-0466</t>
        </is>
      </c>
      <c r="B467" s="6" t="inlineStr">
        <is>
          <t>PJ-083</t>
        </is>
      </c>
      <c r="C467" s="6" t="inlineStr">
        <is>
          <t>Pilot Live</t>
        </is>
      </c>
      <c r="D467" s="9" t="inlineStr">
        <is>
          <t>2026-02-05</t>
        </is>
      </c>
      <c r="E467" s="9" t="inlineStr">
        <is>
          <t>2026-03-15</t>
        </is>
      </c>
      <c r="F467" s="9" t="inlineStr">
        <is>
          <t>2026-03-15</t>
        </is>
      </c>
      <c r="G467" s="6" t="inlineStr">
        <is>
          <t>Complete</t>
        </is>
      </c>
    </row>
    <row r="468">
      <c r="A468" s="6" t="inlineStr">
        <is>
          <t>MS-0467</t>
        </is>
      </c>
      <c r="B468" s="6" t="inlineStr">
        <is>
          <t>PJ-083</t>
        </is>
      </c>
      <c r="C468" s="6" t="inlineStr">
        <is>
          <t>Change &amp; Training Complete</t>
        </is>
      </c>
      <c r="D468" s="9" t="inlineStr">
        <is>
          <t>2026-05-21</t>
        </is>
      </c>
      <c r="E468" s="9" t="inlineStr">
        <is>
          <t>2026-05-23</t>
        </is>
      </c>
      <c r="F468" s="9" t="inlineStr">
        <is>
          <t>2026-05-23</t>
        </is>
      </c>
      <c r="G468" s="6" t="inlineStr">
        <is>
          <t>Complete</t>
        </is>
      </c>
    </row>
    <row r="469">
      <c r="A469" s="6" t="inlineStr">
        <is>
          <t>MS-0468</t>
        </is>
      </c>
      <c r="B469" s="6" t="inlineStr">
        <is>
          <t>PJ-083</t>
        </is>
      </c>
      <c r="C469" s="6" t="inlineStr">
        <is>
          <t>Benefits Review</t>
        </is>
      </c>
      <c r="D469" s="9" t="inlineStr">
        <is>
          <t>2026-09-04</t>
        </is>
      </c>
      <c r="E469" s="9" t="inlineStr">
        <is>
          <t>2026-10-20</t>
        </is>
      </c>
      <c r="F469" s="9" t="inlineStr"/>
      <c r="G469" s="6" t="inlineStr">
        <is>
          <t>Planned</t>
        </is>
      </c>
    </row>
    <row r="470">
      <c r="A470" s="6" t="inlineStr">
        <is>
          <t>MS-0469</t>
        </is>
      </c>
      <c r="B470" s="6" t="inlineStr">
        <is>
          <t>PJ-084</t>
        </is>
      </c>
      <c r="C470" s="6" t="inlineStr">
        <is>
          <t>Data Sharing Agreement</t>
        </is>
      </c>
      <c r="D470" s="9" t="inlineStr">
        <is>
          <t>2026-03-17</t>
        </is>
      </c>
      <c r="E470" s="9" t="inlineStr">
        <is>
          <t>2026-04-10</t>
        </is>
      </c>
      <c r="F470" s="9" t="inlineStr">
        <is>
          <t>2026-04-10</t>
        </is>
      </c>
      <c r="G470" s="6" t="inlineStr">
        <is>
          <t>Complete</t>
        </is>
      </c>
    </row>
    <row r="471">
      <c r="A471" s="6" t="inlineStr">
        <is>
          <t>MS-0470</t>
        </is>
      </c>
      <c r="B471" s="6" t="inlineStr">
        <is>
          <t>PJ-084</t>
        </is>
      </c>
      <c r="C471" s="6" t="inlineStr">
        <is>
          <t>Model Development Complete</t>
        </is>
      </c>
      <c r="D471" s="9" t="inlineStr">
        <is>
          <t>2026-06-18</t>
        </is>
      </c>
      <c r="E471" s="9" t="inlineStr">
        <is>
          <t>2026-07-15</t>
        </is>
      </c>
      <c r="F471" s="9" t="inlineStr">
        <is>
          <t>2026-07-15</t>
        </is>
      </c>
      <c r="G471" s="6" t="inlineStr">
        <is>
          <t>Complete</t>
        </is>
      </c>
    </row>
    <row r="472">
      <c r="A472" s="6" t="inlineStr">
        <is>
          <t>MS-0471</t>
        </is>
      </c>
      <c r="B472" s="6" t="inlineStr">
        <is>
          <t>PJ-084</t>
        </is>
      </c>
      <c r="C472" s="6" t="inlineStr">
        <is>
          <t>Change &amp; Training Complete</t>
        </is>
      </c>
      <c r="D472" s="9" t="inlineStr">
        <is>
          <t>2026-09-19</t>
        </is>
      </c>
      <c r="E472" s="9" t="inlineStr">
        <is>
          <t>2026-10-30</t>
        </is>
      </c>
      <c r="F472" s="9" t="inlineStr"/>
      <c r="G472" s="6" t="inlineStr">
        <is>
          <t>Planned</t>
        </is>
      </c>
    </row>
    <row r="473">
      <c r="A473" s="6" t="inlineStr">
        <is>
          <t>MS-0472</t>
        </is>
      </c>
      <c r="B473" s="6" t="inlineStr">
        <is>
          <t>PJ-084</t>
        </is>
      </c>
      <c r="C473" s="6" t="inlineStr">
        <is>
          <t>Scaled Rollout</t>
        </is>
      </c>
      <c r="D473" s="9" t="inlineStr">
        <is>
          <t>2026-12-21</t>
        </is>
      </c>
      <c r="E473" s="9" t="inlineStr">
        <is>
          <t>2026-12-30</t>
        </is>
      </c>
      <c r="F473" s="9" t="inlineStr"/>
      <c r="G473" s="6" t="inlineStr">
        <is>
          <t>Planned</t>
        </is>
      </c>
    </row>
    <row r="474">
      <c r="A474" s="6" t="inlineStr">
        <is>
          <t>MS-0473</t>
        </is>
      </c>
      <c r="B474" s="6" t="inlineStr">
        <is>
          <t>PJ-084</t>
        </is>
      </c>
      <c r="C474" s="6" t="inlineStr">
        <is>
          <t>Benefits Review</t>
        </is>
      </c>
      <c r="D474" s="9" t="inlineStr">
        <is>
          <t>2027-03-24</t>
        </is>
      </c>
      <c r="E474" s="9" t="inlineStr">
        <is>
          <t>2027-04-12</t>
        </is>
      </c>
      <c r="F474" s="9" t="inlineStr"/>
      <c r="G474" s="6" t="inlineStr">
        <is>
          <t>Planned</t>
        </is>
      </c>
    </row>
  </sheetData>
  <autoFilter ref="A1:G47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52" customWidth="1" min="3" max="3"/>
    <col width="16" customWidth="1" min="4" max="4"/>
    <col width="15" customWidth="1" min="5" max="5"/>
    <col width="11" customWidth="1" min="6" max="6"/>
    <col width="12" customWidth="1" min="7" max="7"/>
    <col width="11" customWidth="1" min="8" max="8"/>
    <col width="11" customWidth="1" min="9" max="9"/>
    <col width="11" customWidth="1" min="10" max="10"/>
    <col width="12" customWidth="1" min="11" max="11"/>
  </cols>
  <sheetData>
    <row r="1" ht="30" customHeight="1">
      <c r="A1" s="5" t="inlineStr">
        <is>
          <t>RiskID</t>
        </is>
      </c>
      <c r="B1" s="5" t="inlineStr">
        <is>
          <t>ProjectID</t>
        </is>
      </c>
      <c r="C1" s="5" t="inlineStr">
        <is>
          <t>RiskTitle</t>
        </is>
      </c>
      <c r="D1" s="5" t="inlineStr">
        <is>
          <t>Category</t>
        </is>
      </c>
      <c r="E1" s="5" t="inlineStr">
        <is>
          <t>Probability</t>
        </is>
      </c>
      <c r="F1" s="5" t="inlineStr">
        <is>
          <t>Impact</t>
        </is>
      </c>
      <c r="G1" s="5" t="inlineStr">
        <is>
          <t>Response</t>
        </is>
      </c>
      <c r="H1" s="5" t="inlineStr">
        <is>
          <t>Owner</t>
        </is>
      </c>
      <c r="I1" s="5" t="inlineStr">
        <is>
          <t>Status</t>
        </is>
      </c>
      <c r="J1" s="5" t="inlineStr">
        <is>
          <t>DueDate</t>
        </is>
      </c>
      <c r="K1" s="8" t="inlineStr">
        <is>
          <t>Exposure</t>
        </is>
      </c>
    </row>
    <row r="2">
      <c r="A2" s="6" t="inlineStr">
        <is>
          <t>RK-0001</t>
        </is>
      </c>
      <c r="B2" s="6" t="inlineStr">
        <is>
          <t>PJ-001</t>
        </is>
      </c>
      <c r="C2" s="6" t="inlineStr">
        <is>
          <t>Land handover contingent on unresolved zoning approval</t>
        </is>
      </c>
      <c r="D2" s="6" t="inlineStr">
        <is>
          <t>Regulatory</t>
        </is>
      </c>
      <c r="E2" s="6" t="n">
        <v>2</v>
      </c>
      <c r="F2" s="6" t="n">
        <v>5</v>
      </c>
      <c r="G2" s="6" t="inlineStr">
        <is>
          <t>Avoid</t>
        </is>
      </c>
      <c r="H2" s="6" t="inlineStr">
        <is>
          <t>R. Nakamura</t>
        </is>
      </c>
      <c r="I2" s="6" t="inlineStr">
        <is>
          <t>Open</t>
        </is>
      </c>
      <c r="J2" s="9" t="inlineStr">
        <is>
          <t>2026-09-05</t>
        </is>
      </c>
      <c r="K2" s="14">
        <f>E2*F2</f>
        <v/>
      </c>
    </row>
    <row r="3">
      <c r="A3" s="6" t="inlineStr">
        <is>
          <t>RK-0002</t>
        </is>
      </c>
      <c r="B3" s="6" t="inlineStr">
        <is>
          <t>PJ-001</t>
        </is>
      </c>
      <c r="C3" s="6" t="inlineStr">
        <is>
          <t>Transformer and switchgear lead times exceed 18 months</t>
        </is>
      </c>
      <c r="D3" s="6" t="inlineStr">
        <is>
          <t>Supply Chain</t>
        </is>
      </c>
      <c r="E3" s="6" t="n">
        <v>2</v>
      </c>
      <c r="F3" s="6" t="n">
        <v>3</v>
      </c>
      <c r="G3" s="6" t="inlineStr">
        <is>
          <t>Transfer</t>
        </is>
      </c>
      <c r="H3" s="6" t="inlineStr">
        <is>
          <t>R. Nakamura</t>
        </is>
      </c>
      <c r="I3" s="6" t="inlineStr">
        <is>
          <t>Open</t>
        </is>
      </c>
      <c r="J3" s="9" t="inlineStr">
        <is>
          <t>2027-03-20</t>
        </is>
      </c>
      <c r="K3" s="14">
        <f>E3*F3</f>
        <v/>
      </c>
    </row>
    <row r="4">
      <c r="A4" s="6" t="inlineStr">
        <is>
          <t>RK-0003</t>
        </is>
      </c>
      <c r="B4" s="6" t="inlineStr">
        <is>
          <t>PJ-001</t>
        </is>
      </c>
      <c r="C4" s="6" t="inlineStr">
        <is>
          <t>Cooling plant single-sourced with no qualified alternate</t>
        </is>
      </c>
      <c r="D4" s="6" t="inlineStr">
        <is>
          <t>Supply Chain</t>
        </is>
      </c>
      <c r="E4" s="6" t="n">
        <v>2</v>
      </c>
      <c r="F4" s="6" t="n">
        <v>3</v>
      </c>
      <c r="G4" s="6" t="inlineStr">
        <is>
          <t>Transfer</t>
        </is>
      </c>
      <c r="H4" s="6" t="inlineStr">
        <is>
          <t>R. Nakamura</t>
        </is>
      </c>
      <c r="I4" s="6" t="inlineStr">
        <is>
          <t>Open</t>
        </is>
      </c>
      <c r="J4" s="9" t="inlineStr">
        <is>
          <t>2026-07-02</t>
        </is>
      </c>
      <c r="K4" s="14">
        <f>E4*F4</f>
        <v/>
      </c>
    </row>
    <row r="5">
      <c r="A5" s="6" t="inlineStr">
        <is>
          <t>RK-0004</t>
        </is>
      </c>
      <c r="B5" s="6" t="inlineStr">
        <is>
          <t>PJ-002</t>
        </is>
      </c>
      <c r="C5" s="6" t="inlineStr">
        <is>
          <t>Land handover contingent on unresolved zoning approval</t>
        </is>
      </c>
      <c r="D5" s="6" t="inlineStr">
        <is>
          <t>Regulatory</t>
        </is>
      </c>
      <c r="E5" s="6" t="n">
        <v>1</v>
      </c>
      <c r="F5" s="6" t="n">
        <v>2</v>
      </c>
      <c r="G5" s="6" t="inlineStr">
        <is>
          <t>Accept</t>
        </is>
      </c>
      <c r="H5" s="6" t="inlineStr">
        <is>
          <t>R. Nakamura</t>
        </is>
      </c>
      <c r="I5" s="6" t="inlineStr">
        <is>
          <t>Open</t>
        </is>
      </c>
      <c r="J5" s="9" t="inlineStr">
        <is>
          <t>2027-02-15</t>
        </is>
      </c>
      <c r="K5" s="14">
        <f>E5*F5</f>
        <v/>
      </c>
    </row>
    <row r="6">
      <c r="A6" s="6" t="inlineStr">
        <is>
          <t>RK-0005</t>
        </is>
      </c>
      <c r="B6" s="6" t="inlineStr">
        <is>
          <t>PJ-002</t>
        </is>
      </c>
      <c r="C6" s="6" t="inlineStr">
        <is>
          <t>Construction labour availability in peak season</t>
        </is>
      </c>
      <c r="D6" s="6" t="inlineStr">
        <is>
          <t>Resource</t>
        </is>
      </c>
      <c r="E6" s="6" t="n">
        <v>5</v>
      </c>
      <c r="F6" s="6" t="n">
        <v>2</v>
      </c>
      <c r="G6" s="6" t="inlineStr">
        <is>
          <t>Transfer</t>
        </is>
      </c>
      <c r="H6" s="6" t="inlineStr">
        <is>
          <t>R. Nakamura</t>
        </is>
      </c>
      <c r="I6" s="6" t="inlineStr">
        <is>
          <t>Open</t>
        </is>
      </c>
      <c r="J6" s="9" t="inlineStr">
        <is>
          <t>2026-09-12</t>
        </is>
      </c>
      <c r="K6" s="14">
        <f>E6*F6</f>
        <v/>
      </c>
    </row>
    <row r="7">
      <c r="A7" s="6" t="inlineStr">
        <is>
          <t>RK-0006</t>
        </is>
      </c>
      <c r="B7" s="6" t="inlineStr">
        <is>
          <t>PJ-002</t>
        </is>
      </c>
      <c r="C7" s="6" t="inlineStr">
        <is>
          <t>Water availability constraint at campus site</t>
        </is>
      </c>
      <c r="D7" s="6" t="inlineStr">
        <is>
          <t>Environmental</t>
        </is>
      </c>
      <c r="E7" s="6" t="n">
        <v>3</v>
      </c>
      <c r="F7" s="6" t="n">
        <v>3</v>
      </c>
      <c r="G7" s="6" t="inlineStr">
        <is>
          <t>Mitigate</t>
        </is>
      </c>
      <c r="H7" s="6" t="inlineStr">
        <is>
          <t>R. Nakamura</t>
        </is>
      </c>
      <c r="I7" s="6" t="inlineStr">
        <is>
          <t>Monitoring</t>
        </is>
      </c>
      <c r="J7" s="9" t="inlineStr">
        <is>
          <t>2027-02-17</t>
        </is>
      </c>
      <c r="K7" s="14">
        <f>E7*F7</f>
        <v/>
      </c>
    </row>
    <row r="8">
      <c r="A8" s="6" t="inlineStr">
        <is>
          <t>RK-0007</t>
        </is>
      </c>
      <c r="B8" s="6" t="inlineStr">
        <is>
          <t>PJ-003</t>
        </is>
      </c>
      <c r="C8" s="6" t="inlineStr">
        <is>
          <t>Commissioning window collides with summer peak load</t>
        </is>
      </c>
      <c r="D8" s="6" t="inlineStr">
        <is>
          <t>Schedule</t>
        </is>
      </c>
      <c r="E8" s="6" t="n">
        <v>2</v>
      </c>
      <c r="F8" s="6" t="n">
        <v>5</v>
      </c>
      <c r="G8" s="6" t="inlineStr">
        <is>
          <t>Transfer</t>
        </is>
      </c>
      <c r="H8" s="6" t="inlineStr">
        <is>
          <t>R. Nakamura</t>
        </is>
      </c>
      <c r="I8" s="6" t="inlineStr">
        <is>
          <t>Open</t>
        </is>
      </c>
      <c r="J8" s="9" t="inlineStr">
        <is>
          <t>2027-05-06</t>
        </is>
      </c>
      <c r="K8" s="14">
        <f>E8*F8</f>
        <v/>
      </c>
    </row>
    <row r="9">
      <c r="A9" s="6" t="inlineStr">
        <is>
          <t>RK-0008</t>
        </is>
      </c>
      <c r="B9" s="6" t="inlineStr">
        <is>
          <t>PJ-003</t>
        </is>
      </c>
      <c r="C9" s="6" t="inlineStr">
        <is>
          <t>Cooling plant single-sourced with no qualified alternate</t>
        </is>
      </c>
      <c r="D9" s="6" t="inlineStr">
        <is>
          <t>Supply Chain</t>
        </is>
      </c>
      <c r="E9" s="6" t="n">
        <v>1</v>
      </c>
      <c r="F9" s="6" t="n">
        <v>5</v>
      </c>
      <c r="G9" s="6" t="inlineStr">
        <is>
          <t>Accept</t>
        </is>
      </c>
      <c r="H9" s="6" t="inlineStr">
        <is>
          <t>R. Nakamura</t>
        </is>
      </c>
      <c r="I9" s="6" t="inlineStr">
        <is>
          <t>Open</t>
        </is>
      </c>
      <c r="J9" s="9" t="inlineStr">
        <is>
          <t>2026-11-23</t>
        </is>
      </c>
      <c r="K9" s="14">
        <f>E9*F9</f>
        <v/>
      </c>
    </row>
    <row r="10">
      <c r="A10" s="6" t="inlineStr">
        <is>
          <t>RK-0009</t>
        </is>
      </c>
      <c r="B10" s="6" t="inlineStr">
        <is>
          <t>PJ-003</t>
        </is>
      </c>
      <c r="C10" s="6" t="inlineStr">
        <is>
          <t>Grid connection date slips beyond facility readiness</t>
        </is>
      </c>
      <c r="D10" s="6" t="inlineStr">
        <is>
          <t>Energy &amp; Grid</t>
        </is>
      </c>
      <c r="E10" s="6" t="n">
        <v>3</v>
      </c>
      <c r="F10" s="6" t="n">
        <v>5</v>
      </c>
      <c r="G10" s="6" t="inlineStr">
        <is>
          <t>Transfer</t>
        </is>
      </c>
      <c r="H10" s="6" t="inlineStr">
        <is>
          <t>R. Nakamura</t>
        </is>
      </c>
      <c r="I10" s="6" t="inlineStr">
        <is>
          <t>Monitoring</t>
        </is>
      </c>
      <c r="J10" s="9" t="inlineStr">
        <is>
          <t>2027-01-07</t>
        </is>
      </c>
      <c r="K10" s="14">
        <f>E10*F10</f>
        <v/>
      </c>
    </row>
    <row r="11">
      <c r="A11" s="6" t="inlineStr">
        <is>
          <t>RK-0010</t>
        </is>
      </c>
      <c r="B11" s="6" t="inlineStr">
        <is>
          <t>PJ-003</t>
        </is>
      </c>
      <c r="C11" s="6" t="inlineStr">
        <is>
          <t>Land handover contingent on unresolved zoning approval</t>
        </is>
      </c>
      <c r="D11" s="6" t="inlineStr">
        <is>
          <t>Regulatory</t>
        </is>
      </c>
      <c r="E11" s="6" t="n">
        <v>2</v>
      </c>
      <c r="F11" s="6" t="n">
        <v>1</v>
      </c>
      <c r="G11" s="6" t="inlineStr">
        <is>
          <t>Mitigate</t>
        </is>
      </c>
      <c r="H11" s="6" t="inlineStr">
        <is>
          <t>R. Nakamura</t>
        </is>
      </c>
      <c r="I11" s="6" t="inlineStr">
        <is>
          <t>Closed</t>
        </is>
      </c>
      <c r="J11" s="9" t="inlineStr">
        <is>
          <t>2026-11-28</t>
        </is>
      </c>
      <c r="K11" s="14">
        <f>E11*F11</f>
        <v/>
      </c>
    </row>
    <row r="12">
      <c r="A12" s="6" t="inlineStr">
        <is>
          <t>RK-0011</t>
        </is>
      </c>
      <c r="B12" s="6" t="inlineStr">
        <is>
          <t>PJ-003</t>
        </is>
      </c>
      <c r="C12" s="6" t="inlineStr">
        <is>
          <t>Construction labour availability in peak season</t>
        </is>
      </c>
      <c r="D12" s="6" t="inlineStr">
        <is>
          <t>Resource</t>
        </is>
      </c>
      <c r="E12" s="6" t="n">
        <v>2</v>
      </c>
      <c r="F12" s="6" t="n">
        <v>3</v>
      </c>
      <c r="G12" s="6" t="inlineStr">
        <is>
          <t>Accept</t>
        </is>
      </c>
      <c r="H12" s="6" t="inlineStr">
        <is>
          <t>R. Nakamura</t>
        </is>
      </c>
      <c r="I12" s="6" t="inlineStr">
        <is>
          <t>Monitoring</t>
        </is>
      </c>
      <c r="J12" s="9" t="inlineStr">
        <is>
          <t>2026-06-05</t>
        </is>
      </c>
      <c r="K12" s="14">
        <f>E12*F12</f>
        <v/>
      </c>
    </row>
    <row r="13">
      <c r="A13" s="6" t="inlineStr">
        <is>
          <t>RK-0012</t>
        </is>
      </c>
      <c r="B13" s="6" t="inlineStr">
        <is>
          <t>PJ-004</t>
        </is>
      </c>
      <c r="C13" s="6" t="inlineStr">
        <is>
          <t>Water availability constraint at campus site</t>
        </is>
      </c>
      <c r="D13" s="6" t="inlineStr">
        <is>
          <t>Environmental</t>
        </is>
      </c>
      <c r="E13" s="6" t="n">
        <v>2</v>
      </c>
      <c r="F13" s="6" t="n">
        <v>3</v>
      </c>
      <c r="G13" s="6" t="inlineStr">
        <is>
          <t>Mitigate</t>
        </is>
      </c>
      <c r="H13" s="6" t="inlineStr">
        <is>
          <t>R. Nakamura</t>
        </is>
      </c>
      <c r="I13" s="6" t="inlineStr">
        <is>
          <t>Open</t>
        </is>
      </c>
      <c r="J13" s="9" t="inlineStr">
        <is>
          <t>2026-08-04</t>
        </is>
      </c>
      <c r="K13" s="14">
        <f>E13*F13</f>
        <v/>
      </c>
    </row>
    <row r="14">
      <c r="A14" s="6" t="inlineStr">
        <is>
          <t>RK-0013</t>
        </is>
      </c>
      <c r="B14" s="6" t="inlineStr">
        <is>
          <t>PJ-004</t>
        </is>
      </c>
      <c r="C14" s="6" t="inlineStr">
        <is>
          <t>Construction labour availability in peak season</t>
        </is>
      </c>
      <c r="D14" s="6" t="inlineStr">
        <is>
          <t>Resource</t>
        </is>
      </c>
      <c r="E14" s="6" t="n">
        <v>3</v>
      </c>
      <c r="F14" s="6" t="n">
        <v>4</v>
      </c>
      <c r="G14" s="6" t="inlineStr">
        <is>
          <t>Accept</t>
        </is>
      </c>
      <c r="H14" s="6" t="inlineStr">
        <is>
          <t>R. Nakamura</t>
        </is>
      </c>
      <c r="I14" s="6" t="inlineStr">
        <is>
          <t>Open</t>
        </is>
      </c>
      <c r="J14" s="9" t="inlineStr">
        <is>
          <t>2027-03-09</t>
        </is>
      </c>
      <c r="K14" s="14">
        <f>E14*F14</f>
        <v/>
      </c>
    </row>
    <row r="15">
      <c r="A15" s="6" t="inlineStr">
        <is>
          <t>RK-0014</t>
        </is>
      </c>
      <c r="B15" s="6" t="inlineStr">
        <is>
          <t>PJ-005</t>
        </is>
      </c>
      <c r="C15" s="6" t="inlineStr">
        <is>
          <t>Escalation in structural steel and copper pricing</t>
        </is>
      </c>
      <c r="D15" s="6" t="inlineStr">
        <is>
          <t>Cost</t>
        </is>
      </c>
      <c r="E15" s="6" t="n">
        <v>3</v>
      </c>
      <c r="F15" s="6" t="n">
        <v>4</v>
      </c>
      <c r="G15" s="6" t="inlineStr">
        <is>
          <t>Transfer</t>
        </is>
      </c>
      <c r="H15" s="6" t="inlineStr">
        <is>
          <t>R. Nakamura</t>
        </is>
      </c>
      <c r="I15" s="6" t="inlineStr">
        <is>
          <t>Closed</t>
        </is>
      </c>
      <c r="J15" s="9" t="inlineStr">
        <is>
          <t>2027-03-25</t>
        </is>
      </c>
      <c r="K15" s="14">
        <f>E15*F15</f>
        <v/>
      </c>
    </row>
    <row r="16">
      <c r="A16" s="6" t="inlineStr">
        <is>
          <t>RK-0015</t>
        </is>
      </c>
      <c r="B16" s="6" t="inlineStr">
        <is>
          <t>PJ-005</t>
        </is>
      </c>
      <c r="C16" s="6" t="inlineStr">
        <is>
          <t>Transformer and switchgear lead times exceed 18 months</t>
        </is>
      </c>
      <c r="D16" s="6" t="inlineStr">
        <is>
          <t>Supply Chain</t>
        </is>
      </c>
      <c r="E16" s="6" t="n">
        <v>4</v>
      </c>
      <c r="F16" s="6" t="n">
        <v>1</v>
      </c>
      <c r="G16" s="6" t="inlineStr">
        <is>
          <t>Avoid</t>
        </is>
      </c>
      <c r="H16" s="6" t="inlineStr">
        <is>
          <t>R. Nakamura</t>
        </is>
      </c>
      <c r="I16" s="6" t="inlineStr">
        <is>
          <t>Open</t>
        </is>
      </c>
      <c r="J16" s="9" t="inlineStr">
        <is>
          <t>2026-09-25</t>
        </is>
      </c>
      <c r="K16" s="14">
        <f>E16*F16</f>
        <v/>
      </c>
    </row>
    <row r="17">
      <c r="A17" s="6" t="inlineStr">
        <is>
          <t>RK-0016</t>
        </is>
      </c>
      <c r="B17" s="6" t="inlineStr">
        <is>
          <t>PJ-005</t>
        </is>
      </c>
      <c r="C17" s="6" t="inlineStr">
        <is>
          <t>Grid connection date slips beyond facility readiness</t>
        </is>
      </c>
      <c r="D17" s="6" t="inlineStr">
        <is>
          <t>Energy &amp; Grid</t>
        </is>
      </c>
      <c r="E17" s="6" t="n">
        <v>3</v>
      </c>
      <c r="F17" s="6" t="n">
        <v>2</v>
      </c>
      <c r="G17" s="6" t="inlineStr">
        <is>
          <t>Transfer</t>
        </is>
      </c>
      <c r="H17" s="6" t="inlineStr">
        <is>
          <t>R. Nakamura</t>
        </is>
      </c>
      <c r="I17" s="6" t="inlineStr">
        <is>
          <t>Open</t>
        </is>
      </c>
      <c r="J17" s="9" t="inlineStr">
        <is>
          <t>2027-03-25</t>
        </is>
      </c>
      <c r="K17" s="14">
        <f>E17*F17</f>
        <v/>
      </c>
    </row>
    <row r="18">
      <c r="A18" s="6" t="inlineStr">
        <is>
          <t>RK-0017</t>
        </is>
      </c>
      <c r="B18" s="6" t="inlineStr">
        <is>
          <t>PJ-005</t>
        </is>
      </c>
      <c r="C18" s="6" t="inlineStr">
        <is>
          <t>Land handover contingent on unresolved zoning approval</t>
        </is>
      </c>
      <c r="D18" s="6" t="inlineStr">
        <is>
          <t>Regulatory</t>
        </is>
      </c>
      <c r="E18" s="6" t="n">
        <v>1</v>
      </c>
      <c r="F18" s="6" t="n">
        <v>4</v>
      </c>
      <c r="G18" s="6" t="inlineStr">
        <is>
          <t>Accept</t>
        </is>
      </c>
      <c r="H18" s="6" t="inlineStr">
        <is>
          <t>R. Nakamura</t>
        </is>
      </c>
      <c r="I18" s="6" t="inlineStr">
        <is>
          <t>Closed</t>
        </is>
      </c>
      <c r="J18" s="9" t="inlineStr">
        <is>
          <t>2026-06-05</t>
        </is>
      </c>
      <c r="K18" s="14">
        <f>E18*F18</f>
        <v/>
      </c>
    </row>
    <row r="19">
      <c r="A19" s="6" t="inlineStr">
        <is>
          <t>RK-0018</t>
        </is>
      </c>
      <c r="B19" s="6" t="inlineStr">
        <is>
          <t>PJ-006</t>
        </is>
      </c>
      <c r="C19" s="6" t="inlineStr">
        <is>
          <t>Cybersecurity accreditation not complete before go-live</t>
        </is>
      </c>
      <c r="D19" s="6" t="inlineStr">
        <is>
          <t>Cyber</t>
        </is>
      </c>
      <c r="E19" s="6" t="n">
        <v>5</v>
      </c>
      <c r="F19" s="6" t="n">
        <v>1</v>
      </c>
      <c r="G19" s="6" t="inlineStr">
        <is>
          <t>Mitigate</t>
        </is>
      </c>
      <c r="H19" s="6" t="inlineStr">
        <is>
          <t>R. Nakamura</t>
        </is>
      </c>
      <c r="I19" s="6" t="inlineStr">
        <is>
          <t>Monitoring</t>
        </is>
      </c>
      <c r="J19" s="9" t="inlineStr">
        <is>
          <t>2026-10-25</t>
        </is>
      </c>
      <c r="K19" s="14">
        <f>E19*F19</f>
        <v/>
      </c>
    </row>
    <row r="20">
      <c r="A20" s="6" t="inlineStr">
        <is>
          <t>RK-0019</t>
        </is>
      </c>
      <c r="B20" s="6" t="inlineStr">
        <is>
          <t>PJ-006</t>
        </is>
      </c>
      <c r="C20" s="6" t="inlineStr">
        <is>
          <t>Upstream data quality insufficient for target accuracy</t>
        </is>
      </c>
      <c r="D20" s="6" t="inlineStr">
        <is>
          <t>Technical</t>
        </is>
      </c>
      <c r="E20" s="6" t="n">
        <v>2</v>
      </c>
      <c r="F20" s="6" t="n">
        <v>3</v>
      </c>
      <c r="G20" s="6" t="inlineStr">
        <is>
          <t>Transfer</t>
        </is>
      </c>
      <c r="H20" s="6" t="inlineStr">
        <is>
          <t>R. Nakamura</t>
        </is>
      </c>
      <c r="I20" s="6" t="inlineStr">
        <is>
          <t>Monitoring</t>
        </is>
      </c>
      <c r="J20" s="9" t="inlineStr">
        <is>
          <t>2027-04-05</t>
        </is>
      </c>
      <c r="K20" s="14">
        <f>E20*F20</f>
        <v/>
      </c>
    </row>
    <row r="21">
      <c r="A21" s="6" t="inlineStr">
        <is>
          <t>RK-0020</t>
        </is>
      </c>
      <c r="B21" s="6" t="inlineStr">
        <is>
          <t>PJ-006</t>
        </is>
      </c>
      <c r="C21" s="6" t="inlineStr">
        <is>
          <t>Training run may not converge within allocated compute budget</t>
        </is>
      </c>
      <c r="D21" s="6" t="inlineStr">
        <is>
          <t>Technical</t>
        </is>
      </c>
      <c r="E21" s="6" t="n">
        <v>5</v>
      </c>
      <c r="F21" s="6" t="n">
        <v>3</v>
      </c>
      <c r="G21" s="6" t="inlineStr">
        <is>
          <t>Avoid</t>
        </is>
      </c>
      <c r="H21" s="6" t="inlineStr">
        <is>
          <t>R. Nakamura</t>
        </is>
      </c>
      <c r="I21" s="6" t="inlineStr">
        <is>
          <t>Open</t>
        </is>
      </c>
      <c r="J21" s="9" t="inlineStr">
        <is>
          <t>2026-06-26</t>
        </is>
      </c>
      <c r="K21" s="14">
        <f>E21*F21</f>
        <v/>
      </c>
    </row>
    <row r="22">
      <c r="A22" s="6" t="inlineStr">
        <is>
          <t>RK-0021</t>
        </is>
      </c>
      <c r="B22" s="6" t="inlineStr">
        <is>
          <t>PJ-006</t>
        </is>
      </c>
      <c r="C22" s="6" t="inlineStr">
        <is>
          <t>Model evaluation standards not yet defined by regulator</t>
        </is>
      </c>
      <c r="D22" s="6" t="inlineStr">
        <is>
          <t>Regulatory</t>
        </is>
      </c>
      <c r="E22" s="6" t="n">
        <v>1</v>
      </c>
      <c r="F22" s="6" t="n">
        <v>3</v>
      </c>
      <c r="G22" s="6" t="inlineStr">
        <is>
          <t>Avoid</t>
        </is>
      </c>
      <c r="H22" s="6" t="inlineStr">
        <is>
          <t>R. Nakamura</t>
        </is>
      </c>
      <c r="I22" s="6" t="inlineStr">
        <is>
          <t>Monitoring</t>
        </is>
      </c>
      <c r="J22" s="9" t="inlineStr">
        <is>
          <t>2027-05-04</t>
        </is>
      </c>
      <c r="K22" s="14">
        <f>E22*F22</f>
        <v/>
      </c>
    </row>
    <row r="23">
      <c r="A23" s="6" t="inlineStr">
        <is>
          <t>RK-0022</t>
        </is>
      </c>
      <c r="B23" s="6" t="inlineStr">
        <is>
          <t>PJ-006</t>
        </is>
      </c>
      <c r="C23" s="6" t="inlineStr">
        <is>
          <t>Benchmark performance unverified at production scale</t>
        </is>
      </c>
      <c r="D23" s="6" t="inlineStr">
        <is>
          <t>Technical</t>
        </is>
      </c>
      <c r="E23" s="6" t="n">
        <v>1</v>
      </c>
      <c r="F23" s="6" t="n">
        <v>3</v>
      </c>
      <c r="G23" s="6" t="inlineStr">
        <is>
          <t>Avoid</t>
        </is>
      </c>
      <c r="H23" s="6" t="inlineStr">
        <is>
          <t>R. Nakamura</t>
        </is>
      </c>
      <c r="I23" s="6" t="inlineStr">
        <is>
          <t>Monitoring</t>
        </is>
      </c>
      <c r="J23" s="9" t="inlineStr">
        <is>
          <t>2026-09-15</t>
        </is>
      </c>
      <c r="K23" s="14">
        <f>E23*F23</f>
        <v/>
      </c>
    </row>
    <row r="24">
      <c r="A24" s="6" t="inlineStr">
        <is>
          <t>RK-0023</t>
        </is>
      </c>
      <c r="B24" s="6" t="inlineStr">
        <is>
          <t>PJ-007</t>
        </is>
      </c>
      <c r="C24" s="6" t="inlineStr">
        <is>
          <t>Sanctions regime change affects delivery route</t>
        </is>
      </c>
      <c r="D24" s="6" t="inlineStr">
        <is>
          <t>Geopolitical</t>
        </is>
      </c>
      <c r="E24" s="6" t="n">
        <v>2</v>
      </c>
      <c r="F24" s="6" t="n">
        <v>3</v>
      </c>
      <c r="G24" s="6" t="inlineStr">
        <is>
          <t>Accept</t>
        </is>
      </c>
      <c r="H24" s="6" t="inlineStr">
        <is>
          <t>L. Bergstrom</t>
        </is>
      </c>
      <c r="I24" s="6" t="inlineStr">
        <is>
          <t>Closed</t>
        </is>
      </c>
      <c r="J24" s="9" t="inlineStr">
        <is>
          <t>2026-07-30</t>
        </is>
      </c>
      <c r="K24" s="14">
        <f>E24*F24</f>
        <v/>
      </c>
    </row>
    <row r="25">
      <c r="A25" s="6" t="inlineStr">
        <is>
          <t>RK-0024</t>
        </is>
      </c>
      <c r="B25" s="6" t="inlineStr">
        <is>
          <t>PJ-007</t>
        </is>
      </c>
      <c r="C25" s="6" t="inlineStr">
        <is>
          <t>Counterpart legal review extends beyond target signature</t>
        </is>
      </c>
      <c r="D25" s="6" t="inlineStr">
        <is>
          <t>Schedule</t>
        </is>
      </c>
      <c r="E25" s="6" t="n">
        <v>4</v>
      </c>
      <c r="F25" s="6" t="n">
        <v>1</v>
      </c>
      <c r="G25" s="6" t="inlineStr">
        <is>
          <t>Accept</t>
        </is>
      </c>
      <c r="H25" s="6" t="inlineStr">
        <is>
          <t>L. Bergstrom</t>
        </is>
      </c>
      <c r="I25" s="6" t="inlineStr">
        <is>
          <t>Open</t>
        </is>
      </c>
      <c r="J25" s="9" t="inlineStr">
        <is>
          <t>2026-09-27</t>
        </is>
      </c>
      <c r="K25" s="14">
        <f>E25*F25</f>
        <v/>
      </c>
    </row>
    <row r="26">
      <c r="A26" s="6" t="inlineStr">
        <is>
          <t>RK-0025</t>
        </is>
      </c>
      <c r="B26" s="6" t="inlineStr">
        <is>
          <t>PJ-007</t>
        </is>
      </c>
      <c r="C26" s="6" t="inlineStr">
        <is>
          <t>Currency exposure on multi-year hardware commitment</t>
        </is>
      </c>
      <c r="D26" s="6" t="inlineStr">
        <is>
          <t>Cost</t>
        </is>
      </c>
      <c r="E26" s="6" t="n">
        <v>1</v>
      </c>
      <c r="F26" s="6" t="n">
        <v>4</v>
      </c>
      <c r="G26" s="6" t="inlineStr">
        <is>
          <t>Accept</t>
        </is>
      </c>
      <c r="H26" s="6" t="inlineStr">
        <is>
          <t>L. Bergstrom</t>
        </is>
      </c>
      <c r="I26" s="6" t="inlineStr">
        <is>
          <t>Closed</t>
        </is>
      </c>
      <c r="J26" s="9" t="inlineStr">
        <is>
          <t>2026-12-25</t>
        </is>
      </c>
      <c r="K26" s="14">
        <f>E26*F26</f>
        <v/>
      </c>
    </row>
    <row r="27">
      <c r="A27" s="6" t="inlineStr">
        <is>
          <t>RK-0026</t>
        </is>
      </c>
      <c r="B27" s="6" t="inlineStr">
        <is>
          <t>PJ-007</t>
        </is>
      </c>
      <c r="C27" s="6" t="inlineStr">
        <is>
          <t>Chip allocation reduced by vendor under global demand</t>
        </is>
      </c>
      <c r="D27" s="6" t="inlineStr">
        <is>
          <t>Supply Chain</t>
        </is>
      </c>
      <c r="E27" s="6" t="n">
        <v>3</v>
      </c>
      <c r="F27" s="6" t="n">
        <v>1</v>
      </c>
      <c r="G27" s="6" t="inlineStr">
        <is>
          <t>Avoid</t>
        </is>
      </c>
      <c r="H27" s="6" t="inlineStr">
        <is>
          <t>L. Bergstrom</t>
        </is>
      </c>
      <c r="I27" s="6" t="inlineStr">
        <is>
          <t>Open</t>
        </is>
      </c>
      <c r="J27" s="9" t="inlineStr">
        <is>
          <t>2027-02-21</t>
        </is>
      </c>
      <c r="K27" s="14">
        <f>E27*F27</f>
        <v/>
      </c>
    </row>
    <row r="28">
      <c r="A28" s="6" t="inlineStr">
        <is>
          <t>RK-0027</t>
        </is>
      </c>
      <c r="B28" s="6" t="inlineStr">
        <is>
          <t>PJ-007</t>
        </is>
      </c>
      <c r="C28" s="6" t="inlineStr">
        <is>
          <t>Export licence approval slower than programme assumption</t>
        </is>
      </c>
      <c r="D28" s="6" t="inlineStr">
        <is>
          <t>Geopolitical</t>
        </is>
      </c>
      <c r="E28" s="6" t="n">
        <v>2</v>
      </c>
      <c r="F28" s="6" t="n">
        <v>3</v>
      </c>
      <c r="G28" s="6" t="inlineStr">
        <is>
          <t>Avoid</t>
        </is>
      </c>
      <c r="H28" s="6" t="inlineStr">
        <is>
          <t>L. Bergstrom</t>
        </is>
      </c>
      <c r="I28" s="6" t="inlineStr">
        <is>
          <t>Closed</t>
        </is>
      </c>
      <c r="J28" s="9" t="inlineStr">
        <is>
          <t>2026-09-07</t>
        </is>
      </c>
      <c r="K28" s="14">
        <f>E28*F28</f>
        <v/>
      </c>
    </row>
    <row r="29">
      <c r="A29" s="6" t="inlineStr">
        <is>
          <t>RK-0028</t>
        </is>
      </c>
      <c r="B29" s="6" t="inlineStr">
        <is>
          <t>PJ-007</t>
        </is>
      </c>
      <c r="C29" s="6" t="inlineStr">
        <is>
          <t>Counterpart position may shift after national elections</t>
        </is>
      </c>
      <c r="D29" s="6" t="inlineStr">
        <is>
          <t>Geopolitical</t>
        </is>
      </c>
      <c r="E29" s="6" t="n">
        <v>3</v>
      </c>
      <c r="F29" s="6" t="n">
        <v>4</v>
      </c>
      <c r="G29" s="6" t="inlineStr">
        <is>
          <t>Avoid</t>
        </is>
      </c>
      <c r="H29" s="6" t="inlineStr">
        <is>
          <t>L. Bergstrom</t>
        </is>
      </c>
      <c r="I29" s="6" t="inlineStr">
        <is>
          <t>Monitoring</t>
        </is>
      </c>
      <c r="J29" s="9" t="inlineStr">
        <is>
          <t>2027-01-06</t>
        </is>
      </c>
      <c r="K29" s="14">
        <f>E29*F29</f>
        <v/>
      </c>
    </row>
    <row r="30">
      <c r="A30" s="6" t="inlineStr">
        <is>
          <t>RK-0029</t>
        </is>
      </c>
      <c r="B30" s="6" t="inlineStr">
        <is>
          <t>PJ-008</t>
        </is>
      </c>
      <c r="C30" s="6" t="inlineStr">
        <is>
          <t>Offset and local-content obligations not yet costed</t>
        </is>
      </c>
      <c r="D30" s="6" t="inlineStr">
        <is>
          <t>Cost</t>
        </is>
      </c>
      <c r="E30" s="6" t="n">
        <v>2</v>
      </c>
      <c r="F30" s="6" t="n">
        <v>2</v>
      </c>
      <c r="G30" s="6" t="inlineStr">
        <is>
          <t>Avoid</t>
        </is>
      </c>
      <c r="H30" s="6" t="inlineStr">
        <is>
          <t>L. Bergstrom</t>
        </is>
      </c>
      <c r="I30" s="6" t="inlineStr">
        <is>
          <t>Open</t>
        </is>
      </c>
      <c r="J30" s="9" t="inlineStr">
        <is>
          <t>2026-10-18</t>
        </is>
      </c>
      <c r="K30" s="14">
        <f>E30*F30</f>
        <v/>
      </c>
    </row>
    <row r="31">
      <c r="A31" s="6" t="inlineStr">
        <is>
          <t>RK-0030</t>
        </is>
      </c>
      <c r="B31" s="6" t="inlineStr">
        <is>
          <t>PJ-008</t>
        </is>
      </c>
      <c r="C31" s="6" t="inlineStr">
        <is>
          <t>Export licence approval slower than programme assumption</t>
        </is>
      </c>
      <c r="D31" s="6" t="inlineStr">
        <is>
          <t>Geopolitical</t>
        </is>
      </c>
      <c r="E31" s="6" t="n">
        <v>4</v>
      </c>
      <c r="F31" s="6" t="n">
        <v>3</v>
      </c>
      <c r="G31" s="6" t="inlineStr">
        <is>
          <t>Accept</t>
        </is>
      </c>
      <c r="H31" s="6" t="inlineStr">
        <is>
          <t>L. Bergstrom</t>
        </is>
      </c>
      <c r="I31" s="6" t="inlineStr">
        <is>
          <t>Monitoring</t>
        </is>
      </c>
      <c r="J31" s="9" t="inlineStr">
        <is>
          <t>2026-05-29</t>
        </is>
      </c>
      <c r="K31" s="14">
        <f>E31*F31</f>
        <v/>
      </c>
    </row>
    <row r="32">
      <c r="A32" s="6" t="inlineStr">
        <is>
          <t>RK-0031</t>
        </is>
      </c>
      <c r="B32" s="6" t="inlineStr">
        <is>
          <t>PJ-008</t>
        </is>
      </c>
      <c r="C32" s="6" t="inlineStr">
        <is>
          <t>Counterpart legal review extends beyond target signature</t>
        </is>
      </c>
      <c r="D32" s="6" t="inlineStr">
        <is>
          <t>Schedule</t>
        </is>
      </c>
      <c r="E32" s="6" t="n">
        <v>3</v>
      </c>
      <c r="F32" s="6" t="n">
        <v>4</v>
      </c>
      <c r="G32" s="6" t="inlineStr">
        <is>
          <t>Transfer</t>
        </is>
      </c>
      <c r="H32" s="6" t="inlineStr">
        <is>
          <t>L. Bergstrom</t>
        </is>
      </c>
      <c r="I32" s="6" t="inlineStr">
        <is>
          <t>Open</t>
        </is>
      </c>
      <c r="J32" s="9" t="inlineStr">
        <is>
          <t>2026-10-09</t>
        </is>
      </c>
      <c r="K32" s="14">
        <f>E32*F32</f>
        <v/>
      </c>
    </row>
    <row r="33">
      <c r="A33" s="6" t="inlineStr">
        <is>
          <t>RK-0032</t>
        </is>
      </c>
      <c r="B33" s="6" t="inlineStr">
        <is>
          <t>PJ-008</t>
        </is>
      </c>
      <c r="C33" s="6" t="inlineStr">
        <is>
          <t>Currency exposure on multi-year hardware commitment</t>
        </is>
      </c>
      <c r="D33" s="6" t="inlineStr">
        <is>
          <t>Cost</t>
        </is>
      </c>
      <c r="E33" s="6" t="n">
        <v>4</v>
      </c>
      <c r="F33" s="6" t="n">
        <v>4</v>
      </c>
      <c r="G33" s="6" t="inlineStr">
        <is>
          <t>Accept</t>
        </is>
      </c>
      <c r="H33" s="6" t="inlineStr">
        <is>
          <t>L. Bergstrom</t>
        </is>
      </c>
      <c r="I33" s="6" t="inlineStr">
        <is>
          <t>Open</t>
        </is>
      </c>
      <c r="J33" s="9" t="inlineStr">
        <is>
          <t>2026-09-25</t>
        </is>
      </c>
      <c r="K33" s="14">
        <f>E33*F33</f>
        <v/>
      </c>
    </row>
    <row r="34">
      <c r="A34" s="6" t="inlineStr">
        <is>
          <t>RK-0033</t>
        </is>
      </c>
      <c r="B34" s="6" t="inlineStr">
        <is>
          <t>PJ-008</t>
        </is>
      </c>
      <c r="C34" s="6" t="inlineStr">
        <is>
          <t>Data adequacy ruling may require architecture rework</t>
        </is>
      </c>
      <c r="D34" s="6" t="inlineStr">
        <is>
          <t>Regulatory</t>
        </is>
      </c>
      <c r="E34" s="6" t="n">
        <v>3</v>
      </c>
      <c r="F34" s="6" t="n">
        <v>4</v>
      </c>
      <c r="G34" s="6" t="inlineStr">
        <is>
          <t>Avoid</t>
        </is>
      </c>
      <c r="H34" s="6" t="inlineStr">
        <is>
          <t>L. Bergstrom</t>
        </is>
      </c>
      <c r="I34" s="6" t="inlineStr">
        <is>
          <t>Monitoring</t>
        </is>
      </c>
      <c r="J34" s="9" t="inlineStr">
        <is>
          <t>2026-05-20</t>
        </is>
      </c>
      <c r="K34" s="14">
        <f>E34*F34</f>
        <v/>
      </c>
    </row>
    <row r="35">
      <c r="A35" s="6" t="inlineStr">
        <is>
          <t>RK-0034</t>
        </is>
      </c>
      <c r="B35" s="6" t="inlineStr">
        <is>
          <t>PJ-009</t>
        </is>
      </c>
      <c r="C35" s="6" t="inlineStr">
        <is>
          <t>Chip allocation reduced by vendor under global demand</t>
        </is>
      </c>
      <c r="D35" s="6" t="inlineStr">
        <is>
          <t>Supply Chain</t>
        </is>
      </c>
      <c r="E35" s="6" t="n">
        <v>3</v>
      </c>
      <c r="F35" s="6" t="n">
        <v>5</v>
      </c>
      <c r="G35" s="6" t="inlineStr">
        <is>
          <t>Transfer</t>
        </is>
      </c>
      <c r="H35" s="6" t="inlineStr">
        <is>
          <t>L. Bergstrom</t>
        </is>
      </c>
      <c r="I35" s="6" t="inlineStr">
        <is>
          <t>Closed</t>
        </is>
      </c>
      <c r="J35" s="9" t="inlineStr">
        <is>
          <t>2026-12-11</t>
        </is>
      </c>
      <c r="K35" s="14">
        <f>E35*F35</f>
        <v/>
      </c>
    </row>
    <row r="36">
      <c r="A36" s="6" t="inlineStr">
        <is>
          <t>RK-0035</t>
        </is>
      </c>
      <c r="B36" s="6" t="inlineStr">
        <is>
          <t>PJ-009</t>
        </is>
      </c>
      <c r="C36" s="6" t="inlineStr">
        <is>
          <t>Data adequacy ruling may require architecture rework</t>
        </is>
      </c>
      <c r="D36" s="6" t="inlineStr">
        <is>
          <t>Regulatory</t>
        </is>
      </c>
      <c r="E36" s="6" t="n">
        <v>2</v>
      </c>
      <c r="F36" s="6" t="n">
        <v>5</v>
      </c>
      <c r="G36" s="6" t="inlineStr">
        <is>
          <t>Transfer</t>
        </is>
      </c>
      <c r="H36" s="6" t="inlineStr">
        <is>
          <t>L. Bergstrom</t>
        </is>
      </c>
      <c r="I36" s="6" t="inlineStr">
        <is>
          <t>Open</t>
        </is>
      </c>
      <c r="J36" s="9" t="inlineStr">
        <is>
          <t>2026-06-14</t>
        </is>
      </c>
      <c r="K36" s="14">
        <f>E36*F36</f>
        <v/>
      </c>
    </row>
    <row r="37">
      <c r="A37" s="6" t="inlineStr">
        <is>
          <t>RK-0036</t>
        </is>
      </c>
      <c r="B37" s="6" t="inlineStr">
        <is>
          <t>PJ-009</t>
        </is>
      </c>
      <c r="C37" s="6" t="inlineStr">
        <is>
          <t>Counterpart position may shift after national elections</t>
        </is>
      </c>
      <c r="D37" s="6" t="inlineStr">
        <is>
          <t>Geopolitical</t>
        </is>
      </c>
      <c r="E37" s="6" t="n">
        <v>3</v>
      </c>
      <c r="F37" s="6" t="n">
        <v>1</v>
      </c>
      <c r="G37" s="6" t="inlineStr">
        <is>
          <t>Avoid</t>
        </is>
      </c>
      <c r="H37" s="6" t="inlineStr">
        <is>
          <t>L. Bergstrom</t>
        </is>
      </c>
      <c r="I37" s="6" t="inlineStr">
        <is>
          <t>Open</t>
        </is>
      </c>
      <c r="J37" s="9" t="inlineStr">
        <is>
          <t>2027-03-04</t>
        </is>
      </c>
      <c r="K37" s="14">
        <f>E37*F37</f>
        <v/>
      </c>
    </row>
    <row r="38">
      <c r="A38" s="6" t="inlineStr">
        <is>
          <t>RK-0037</t>
        </is>
      </c>
      <c r="B38" s="6" t="inlineStr">
        <is>
          <t>PJ-009</t>
        </is>
      </c>
      <c r="C38" s="6" t="inlineStr">
        <is>
          <t>Export licence approval slower than programme assumption</t>
        </is>
      </c>
      <c r="D38" s="6" t="inlineStr">
        <is>
          <t>Geopolitical</t>
        </is>
      </c>
      <c r="E38" s="6" t="n">
        <v>4</v>
      </c>
      <c r="F38" s="6" t="n">
        <v>2</v>
      </c>
      <c r="G38" s="6" t="inlineStr">
        <is>
          <t>Accept</t>
        </is>
      </c>
      <c r="H38" s="6" t="inlineStr">
        <is>
          <t>L. Bergstrom</t>
        </is>
      </c>
      <c r="I38" s="6" t="inlineStr">
        <is>
          <t>Open</t>
        </is>
      </c>
      <c r="J38" s="9" t="inlineStr">
        <is>
          <t>2026-12-18</t>
        </is>
      </c>
      <c r="K38" s="14">
        <f>E38*F38</f>
        <v/>
      </c>
    </row>
    <row r="39">
      <c r="A39" s="6" t="inlineStr">
        <is>
          <t>RK-0038</t>
        </is>
      </c>
      <c r="B39" s="6" t="inlineStr">
        <is>
          <t>PJ-009</t>
        </is>
      </c>
      <c r="C39" s="6" t="inlineStr">
        <is>
          <t>Counterpart legal review extends beyond target signature</t>
        </is>
      </c>
      <c r="D39" s="6" t="inlineStr">
        <is>
          <t>Schedule</t>
        </is>
      </c>
      <c r="E39" s="6" t="n">
        <v>2</v>
      </c>
      <c r="F39" s="6" t="n">
        <v>3</v>
      </c>
      <c r="G39" s="6" t="inlineStr">
        <is>
          <t>Mitigate</t>
        </is>
      </c>
      <c r="H39" s="6" t="inlineStr">
        <is>
          <t>L. Bergstrom</t>
        </is>
      </c>
      <c r="I39" s="6" t="inlineStr">
        <is>
          <t>Monitoring</t>
        </is>
      </c>
      <c r="J39" s="9" t="inlineStr">
        <is>
          <t>2026-07-16</t>
        </is>
      </c>
      <c r="K39" s="14">
        <f>E39*F39</f>
        <v/>
      </c>
    </row>
    <row r="40">
      <c r="A40" s="6" t="inlineStr">
        <is>
          <t>RK-0039</t>
        </is>
      </c>
      <c r="B40" s="6" t="inlineStr">
        <is>
          <t>PJ-011</t>
        </is>
      </c>
      <c r="C40" s="6" t="inlineStr">
        <is>
          <t>Sanctions regime change affects delivery route</t>
        </is>
      </c>
      <c r="D40" s="6" t="inlineStr">
        <is>
          <t>Geopolitical</t>
        </is>
      </c>
      <c r="E40" s="6" t="n">
        <v>2</v>
      </c>
      <c r="F40" s="6" t="n">
        <v>2</v>
      </c>
      <c r="G40" s="6" t="inlineStr">
        <is>
          <t>Accept</t>
        </is>
      </c>
      <c r="H40" s="6" t="inlineStr">
        <is>
          <t>L. Bergstrom</t>
        </is>
      </c>
      <c r="I40" s="6" t="inlineStr">
        <is>
          <t>Monitoring</t>
        </is>
      </c>
      <c r="J40" s="9" t="inlineStr">
        <is>
          <t>2027-04-17</t>
        </is>
      </c>
      <c r="K40" s="14">
        <f>E40*F40</f>
        <v/>
      </c>
    </row>
    <row r="41">
      <c r="A41" s="6" t="inlineStr">
        <is>
          <t>RK-0040</t>
        </is>
      </c>
      <c r="B41" s="6" t="inlineStr">
        <is>
          <t>PJ-011</t>
        </is>
      </c>
      <c r="C41" s="6" t="inlineStr">
        <is>
          <t>Counterpart legal review extends beyond target signature</t>
        </is>
      </c>
      <c r="D41" s="6" t="inlineStr">
        <is>
          <t>Schedule</t>
        </is>
      </c>
      <c r="E41" s="6" t="n">
        <v>2</v>
      </c>
      <c r="F41" s="6" t="n">
        <v>1</v>
      </c>
      <c r="G41" s="6" t="inlineStr">
        <is>
          <t>Transfer</t>
        </is>
      </c>
      <c r="H41" s="6" t="inlineStr">
        <is>
          <t>L. Bergstrom</t>
        </is>
      </c>
      <c r="I41" s="6" t="inlineStr">
        <is>
          <t>Closed</t>
        </is>
      </c>
      <c r="J41" s="9" t="inlineStr">
        <is>
          <t>2026-09-24</t>
        </is>
      </c>
      <c r="K41" s="14">
        <f>E41*F41</f>
        <v/>
      </c>
    </row>
    <row r="42">
      <c r="A42" s="6" t="inlineStr">
        <is>
          <t>RK-0041</t>
        </is>
      </c>
      <c r="B42" s="6" t="inlineStr">
        <is>
          <t>PJ-011</t>
        </is>
      </c>
      <c r="C42" s="6" t="inlineStr">
        <is>
          <t>Counterpart position may shift after national elections</t>
        </is>
      </c>
      <c r="D42" s="6" t="inlineStr">
        <is>
          <t>Geopolitical</t>
        </is>
      </c>
      <c r="E42" s="6" t="n">
        <v>2</v>
      </c>
      <c r="F42" s="6" t="n">
        <v>4</v>
      </c>
      <c r="G42" s="6" t="inlineStr">
        <is>
          <t>Avoid</t>
        </is>
      </c>
      <c r="H42" s="6" t="inlineStr">
        <is>
          <t>L. Bergstrom</t>
        </is>
      </c>
      <c r="I42" s="6" t="inlineStr">
        <is>
          <t>Closed</t>
        </is>
      </c>
      <c r="J42" s="9" t="inlineStr">
        <is>
          <t>2027-05-11</t>
        </is>
      </c>
      <c r="K42" s="14">
        <f>E42*F42</f>
        <v/>
      </c>
    </row>
    <row r="43">
      <c r="A43" s="6" t="inlineStr">
        <is>
          <t>RK-0042</t>
        </is>
      </c>
      <c r="B43" s="6" t="inlineStr">
        <is>
          <t>PJ-011</t>
        </is>
      </c>
      <c r="C43" s="6" t="inlineStr">
        <is>
          <t>Chip allocation reduced by vendor under global demand</t>
        </is>
      </c>
      <c r="D43" s="6" t="inlineStr">
        <is>
          <t>Supply Chain</t>
        </is>
      </c>
      <c r="E43" s="6" t="n">
        <v>4</v>
      </c>
      <c r="F43" s="6" t="n">
        <v>2</v>
      </c>
      <c r="G43" s="6" t="inlineStr">
        <is>
          <t>Transfer</t>
        </is>
      </c>
      <c r="H43" s="6" t="inlineStr">
        <is>
          <t>L. Bergstrom</t>
        </is>
      </c>
      <c r="I43" s="6" t="inlineStr">
        <is>
          <t>Closed</t>
        </is>
      </c>
      <c r="J43" s="9" t="inlineStr">
        <is>
          <t>2026-10-26</t>
        </is>
      </c>
      <c r="K43" s="14">
        <f>E43*F43</f>
        <v/>
      </c>
    </row>
    <row r="44">
      <c r="A44" s="6" t="inlineStr">
        <is>
          <t>RK-0043</t>
        </is>
      </c>
      <c r="B44" s="6" t="inlineStr">
        <is>
          <t>PJ-011</t>
        </is>
      </c>
      <c r="C44" s="6" t="inlineStr">
        <is>
          <t>Offset and local-content obligations not yet costed</t>
        </is>
      </c>
      <c r="D44" s="6" t="inlineStr">
        <is>
          <t>Cost</t>
        </is>
      </c>
      <c r="E44" s="6" t="n">
        <v>2</v>
      </c>
      <c r="F44" s="6" t="n">
        <v>4</v>
      </c>
      <c r="G44" s="6" t="inlineStr">
        <is>
          <t>Accept</t>
        </is>
      </c>
      <c r="H44" s="6" t="inlineStr">
        <is>
          <t>L. Bergstrom</t>
        </is>
      </c>
      <c r="I44" s="6" t="inlineStr">
        <is>
          <t>Monitoring</t>
        </is>
      </c>
      <c r="J44" s="9" t="inlineStr">
        <is>
          <t>2026-10-21</t>
        </is>
      </c>
      <c r="K44" s="14">
        <f>E44*F44</f>
        <v/>
      </c>
    </row>
    <row r="45">
      <c r="A45" s="6" t="inlineStr">
        <is>
          <t>RK-0044</t>
        </is>
      </c>
      <c r="B45" s="6" t="inlineStr">
        <is>
          <t>PJ-012</t>
        </is>
      </c>
      <c r="C45" s="6" t="inlineStr">
        <is>
          <t>Offset and local-content obligations not yet costed</t>
        </is>
      </c>
      <c r="D45" s="6" t="inlineStr">
        <is>
          <t>Cost</t>
        </is>
      </c>
      <c r="E45" s="6" t="n">
        <v>4</v>
      </c>
      <c r="F45" s="6" t="n">
        <v>4</v>
      </c>
      <c r="G45" s="6" t="inlineStr">
        <is>
          <t>Accept</t>
        </is>
      </c>
      <c r="H45" s="6" t="inlineStr">
        <is>
          <t>L. Bergstrom</t>
        </is>
      </c>
      <c r="I45" s="6" t="inlineStr">
        <is>
          <t>Open</t>
        </is>
      </c>
      <c r="J45" s="9" t="inlineStr">
        <is>
          <t>2026-08-01</t>
        </is>
      </c>
      <c r="K45" s="14">
        <f>E45*F45</f>
        <v/>
      </c>
    </row>
    <row r="46">
      <c r="A46" s="6" t="inlineStr">
        <is>
          <t>RK-0045</t>
        </is>
      </c>
      <c r="B46" s="6" t="inlineStr">
        <is>
          <t>PJ-012</t>
        </is>
      </c>
      <c r="C46" s="6" t="inlineStr">
        <is>
          <t>Chip allocation reduced by vendor under global demand</t>
        </is>
      </c>
      <c r="D46" s="6" t="inlineStr">
        <is>
          <t>Supply Chain</t>
        </is>
      </c>
      <c r="E46" s="6" t="n">
        <v>3</v>
      </c>
      <c r="F46" s="6" t="n">
        <v>3</v>
      </c>
      <c r="G46" s="6" t="inlineStr">
        <is>
          <t>Mitigate</t>
        </is>
      </c>
      <c r="H46" s="6" t="inlineStr">
        <is>
          <t>L. Bergstrom</t>
        </is>
      </c>
      <c r="I46" s="6" t="inlineStr">
        <is>
          <t>Open</t>
        </is>
      </c>
      <c r="J46" s="9" t="inlineStr">
        <is>
          <t>2026-08-05</t>
        </is>
      </c>
      <c r="K46" s="14">
        <f>E46*F46</f>
        <v/>
      </c>
    </row>
    <row r="47">
      <c r="A47" s="6" t="inlineStr">
        <is>
          <t>RK-0046</t>
        </is>
      </c>
      <c r="B47" s="6" t="inlineStr">
        <is>
          <t>PJ-012</t>
        </is>
      </c>
      <c r="C47" s="6" t="inlineStr">
        <is>
          <t>Counterpart legal review extends beyond target signature</t>
        </is>
      </c>
      <c r="D47" s="6" t="inlineStr">
        <is>
          <t>Schedule</t>
        </is>
      </c>
      <c r="E47" s="6" t="n">
        <v>4</v>
      </c>
      <c r="F47" s="6" t="n">
        <v>3</v>
      </c>
      <c r="G47" s="6" t="inlineStr">
        <is>
          <t>Mitigate</t>
        </is>
      </c>
      <c r="H47" s="6" t="inlineStr">
        <is>
          <t>L. Bergstrom</t>
        </is>
      </c>
      <c r="I47" s="6" t="inlineStr">
        <is>
          <t>Open</t>
        </is>
      </c>
      <c r="J47" s="9" t="inlineStr">
        <is>
          <t>2026-08-01</t>
        </is>
      </c>
      <c r="K47" s="14">
        <f>E47*F47</f>
        <v/>
      </c>
    </row>
    <row r="48">
      <c r="A48" s="6" t="inlineStr">
        <is>
          <t>RK-0047</t>
        </is>
      </c>
      <c r="B48" s="6" t="inlineStr">
        <is>
          <t>PJ-012</t>
        </is>
      </c>
      <c r="C48" s="6" t="inlineStr">
        <is>
          <t>Sanctions regime change affects delivery route</t>
        </is>
      </c>
      <c r="D48" s="6" t="inlineStr">
        <is>
          <t>Geopolitical</t>
        </is>
      </c>
      <c r="E48" s="6" t="n">
        <v>1</v>
      </c>
      <c r="F48" s="6" t="n">
        <v>4</v>
      </c>
      <c r="G48" s="6" t="inlineStr">
        <is>
          <t>Mitigate</t>
        </is>
      </c>
      <c r="H48" s="6" t="inlineStr">
        <is>
          <t>L. Bergstrom</t>
        </is>
      </c>
      <c r="I48" s="6" t="inlineStr">
        <is>
          <t>Monitoring</t>
        </is>
      </c>
      <c r="J48" s="9" t="inlineStr">
        <is>
          <t>2027-04-20</t>
        </is>
      </c>
      <c r="K48" s="14">
        <f>E48*F48</f>
        <v/>
      </c>
    </row>
    <row r="49">
      <c r="A49" s="6" t="inlineStr">
        <is>
          <t>RK-0048</t>
        </is>
      </c>
      <c r="B49" s="6" t="inlineStr">
        <is>
          <t>PJ-012</t>
        </is>
      </c>
      <c r="C49" s="6" t="inlineStr">
        <is>
          <t>Counterpart position may shift after national elections</t>
        </is>
      </c>
      <c r="D49" s="6" t="inlineStr">
        <is>
          <t>Geopolitical</t>
        </is>
      </c>
      <c r="E49" s="6" t="n">
        <v>4</v>
      </c>
      <c r="F49" s="6" t="n">
        <v>3</v>
      </c>
      <c r="G49" s="6" t="inlineStr">
        <is>
          <t>Accept</t>
        </is>
      </c>
      <c r="H49" s="6" t="inlineStr">
        <is>
          <t>L. Bergstrom</t>
        </is>
      </c>
      <c r="I49" s="6" t="inlineStr">
        <is>
          <t>Monitoring</t>
        </is>
      </c>
      <c r="J49" s="9" t="inlineStr">
        <is>
          <t>2027-03-13</t>
        </is>
      </c>
      <c r="K49" s="14">
        <f>E49*F49</f>
        <v/>
      </c>
    </row>
    <row r="50">
      <c r="A50" s="6" t="inlineStr">
        <is>
          <t>RK-0049</t>
        </is>
      </c>
      <c r="B50" s="6" t="inlineStr">
        <is>
          <t>PJ-012</t>
        </is>
      </c>
      <c r="C50" s="6" t="inlineStr">
        <is>
          <t>Export licence approval slower than programme assumption</t>
        </is>
      </c>
      <c r="D50" s="6" t="inlineStr">
        <is>
          <t>Geopolitical</t>
        </is>
      </c>
      <c r="E50" s="6" t="n">
        <v>2</v>
      </c>
      <c r="F50" s="6" t="n">
        <v>2</v>
      </c>
      <c r="G50" s="6" t="inlineStr">
        <is>
          <t>Mitigate</t>
        </is>
      </c>
      <c r="H50" s="6" t="inlineStr">
        <is>
          <t>L. Bergstrom</t>
        </is>
      </c>
      <c r="I50" s="6" t="inlineStr">
        <is>
          <t>Monitoring</t>
        </is>
      </c>
      <c r="J50" s="9" t="inlineStr">
        <is>
          <t>2026-06-02</t>
        </is>
      </c>
      <c r="K50" s="14">
        <f>E50*F50</f>
        <v/>
      </c>
    </row>
    <row r="51">
      <c r="A51" s="6" t="inlineStr">
        <is>
          <t>RK-0050</t>
        </is>
      </c>
      <c r="B51" s="6" t="inlineStr">
        <is>
          <t>PJ-013</t>
        </is>
      </c>
      <c r="C51" s="6" t="inlineStr">
        <is>
          <t>Escalation in structural steel and copper pricing</t>
        </is>
      </c>
      <c r="D51" s="6" t="inlineStr">
        <is>
          <t>Cost</t>
        </is>
      </c>
      <c r="E51" s="6" t="n">
        <v>2</v>
      </c>
      <c r="F51" s="6" t="n">
        <v>2</v>
      </c>
      <c r="G51" s="6" t="inlineStr">
        <is>
          <t>Transfer</t>
        </is>
      </c>
      <c r="H51" s="6" t="inlineStr">
        <is>
          <t>K. Duarte</t>
        </is>
      </c>
      <c r="I51" s="6" t="inlineStr">
        <is>
          <t>Open</t>
        </is>
      </c>
      <c r="J51" s="9" t="inlineStr">
        <is>
          <t>2026-07-19</t>
        </is>
      </c>
      <c r="K51" s="14">
        <f>E51*F51</f>
        <v/>
      </c>
    </row>
    <row r="52">
      <c r="A52" s="6" t="inlineStr">
        <is>
          <t>RK-0051</t>
        </is>
      </c>
      <c r="B52" s="6" t="inlineStr">
        <is>
          <t>PJ-013</t>
        </is>
      </c>
      <c r="C52" s="6" t="inlineStr">
        <is>
          <t>Water availability constraint at campus site</t>
        </is>
      </c>
      <c r="D52" s="6" t="inlineStr">
        <is>
          <t>Environmental</t>
        </is>
      </c>
      <c r="E52" s="6" t="n">
        <v>3</v>
      </c>
      <c r="F52" s="6" t="n">
        <v>3</v>
      </c>
      <c r="G52" s="6" t="inlineStr">
        <is>
          <t>Accept</t>
        </is>
      </c>
      <c r="H52" s="6" t="inlineStr">
        <is>
          <t>K. Duarte</t>
        </is>
      </c>
      <c r="I52" s="6" t="inlineStr">
        <is>
          <t>Open</t>
        </is>
      </c>
      <c r="J52" s="9" t="inlineStr">
        <is>
          <t>2026-05-28</t>
        </is>
      </c>
      <c r="K52" s="14">
        <f>E52*F52</f>
        <v/>
      </c>
    </row>
    <row r="53">
      <c r="A53" s="6" t="inlineStr">
        <is>
          <t>RK-0052</t>
        </is>
      </c>
      <c r="B53" s="6" t="inlineStr">
        <is>
          <t>PJ-013</t>
        </is>
      </c>
      <c r="C53" s="6" t="inlineStr">
        <is>
          <t>Land handover contingent on unresolved zoning approval</t>
        </is>
      </c>
      <c r="D53" s="6" t="inlineStr">
        <is>
          <t>Regulatory</t>
        </is>
      </c>
      <c r="E53" s="6" t="n">
        <v>3</v>
      </c>
      <c r="F53" s="6" t="n">
        <v>5</v>
      </c>
      <c r="G53" s="6" t="inlineStr">
        <is>
          <t>Avoid</t>
        </is>
      </c>
      <c r="H53" s="6" t="inlineStr">
        <is>
          <t>K. Duarte</t>
        </is>
      </c>
      <c r="I53" s="6" t="inlineStr">
        <is>
          <t>Monitoring</t>
        </is>
      </c>
      <c r="J53" s="9" t="inlineStr">
        <is>
          <t>2026-09-24</t>
        </is>
      </c>
      <c r="K53" s="14">
        <f>E53*F53</f>
        <v/>
      </c>
    </row>
    <row r="54">
      <c r="A54" s="6" t="inlineStr">
        <is>
          <t>RK-0053</t>
        </is>
      </c>
      <c r="B54" s="6" t="inlineStr">
        <is>
          <t>PJ-014</t>
        </is>
      </c>
      <c r="C54" s="6" t="inlineStr">
        <is>
          <t>Construction labour availability in peak season</t>
        </is>
      </c>
      <c r="D54" s="6" t="inlineStr">
        <is>
          <t>Resource</t>
        </is>
      </c>
      <c r="E54" s="6" t="n">
        <v>3</v>
      </c>
      <c r="F54" s="6" t="n">
        <v>2</v>
      </c>
      <c r="G54" s="6" t="inlineStr">
        <is>
          <t>Avoid</t>
        </is>
      </c>
      <c r="H54" s="6" t="inlineStr">
        <is>
          <t>K. Duarte</t>
        </is>
      </c>
      <c r="I54" s="6" t="inlineStr">
        <is>
          <t>Monitoring</t>
        </is>
      </c>
      <c r="J54" s="9" t="inlineStr">
        <is>
          <t>2027-06-09</t>
        </is>
      </c>
      <c r="K54" s="14">
        <f>E54*F54</f>
        <v/>
      </c>
    </row>
    <row r="55">
      <c r="A55" s="6" t="inlineStr">
        <is>
          <t>RK-0054</t>
        </is>
      </c>
      <c r="B55" s="6" t="inlineStr">
        <is>
          <t>PJ-014</t>
        </is>
      </c>
      <c r="C55" s="6" t="inlineStr">
        <is>
          <t>Water availability constraint at campus site</t>
        </is>
      </c>
      <c r="D55" s="6" t="inlineStr">
        <is>
          <t>Environmental</t>
        </is>
      </c>
      <c r="E55" s="6" t="n">
        <v>1</v>
      </c>
      <c r="F55" s="6" t="n">
        <v>2</v>
      </c>
      <c r="G55" s="6" t="inlineStr">
        <is>
          <t>Mitigate</t>
        </is>
      </c>
      <c r="H55" s="6" t="inlineStr">
        <is>
          <t>K. Duarte</t>
        </is>
      </c>
      <c r="I55" s="6" t="inlineStr">
        <is>
          <t>Open</t>
        </is>
      </c>
      <c r="J55" s="9" t="inlineStr">
        <is>
          <t>2027-06-03</t>
        </is>
      </c>
      <c r="K55" s="14">
        <f>E55*F55</f>
        <v/>
      </c>
    </row>
    <row r="56">
      <c r="A56" s="6" t="inlineStr">
        <is>
          <t>RK-0055</t>
        </is>
      </c>
      <c r="B56" s="6" t="inlineStr">
        <is>
          <t>PJ-014</t>
        </is>
      </c>
      <c r="C56" s="6" t="inlineStr">
        <is>
          <t>Grid connection date slips beyond facility readiness</t>
        </is>
      </c>
      <c r="D56" s="6" t="inlineStr">
        <is>
          <t>Energy &amp; Grid</t>
        </is>
      </c>
      <c r="E56" s="6" t="n">
        <v>2</v>
      </c>
      <c r="F56" s="6" t="n">
        <v>3</v>
      </c>
      <c r="G56" s="6" t="inlineStr">
        <is>
          <t>Accept</t>
        </is>
      </c>
      <c r="H56" s="6" t="inlineStr">
        <is>
          <t>K. Duarte</t>
        </is>
      </c>
      <c r="I56" s="6" t="inlineStr">
        <is>
          <t>Open</t>
        </is>
      </c>
      <c r="J56" s="9" t="inlineStr">
        <is>
          <t>2026-06-12</t>
        </is>
      </c>
      <c r="K56" s="14">
        <f>E56*F56</f>
        <v/>
      </c>
    </row>
    <row r="57">
      <c r="A57" s="6" t="inlineStr">
        <is>
          <t>RK-0056</t>
        </is>
      </c>
      <c r="B57" s="6" t="inlineStr">
        <is>
          <t>PJ-014</t>
        </is>
      </c>
      <c r="C57" s="6" t="inlineStr">
        <is>
          <t>Commissioning window collides with summer peak load</t>
        </is>
      </c>
      <c r="D57" s="6" t="inlineStr">
        <is>
          <t>Schedule</t>
        </is>
      </c>
      <c r="E57" s="6" t="n">
        <v>2</v>
      </c>
      <c r="F57" s="6" t="n">
        <v>2</v>
      </c>
      <c r="G57" s="6" t="inlineStr">
        <is>
          <t>Transfer</t>
        </is>
      </c>
      <c r="H57" s="6" t="inlineStr">
        <is>
          <t>K. Duarte</t>
        </is>
      </c>
      <c r="I57" s="6" t="inlineStr">
        <is>
          <t>Monitoring</t>
        </is>
      </c>
      <c r="J57" s="9" t="inlineStr">
        <is>
          <t>2026-10-01</t>
        </is>
      </c>
      <c r="K57" s="14">
        <f>E57*F57</f>
        <v/>
      </c>
    </row>
    <row r="58">
      <c r="A58" s="6" t="inlineStr">
        <is>
          <t>RK-0057</t>
        </is>
      </c>
      <c r="B58" s="6" t="inlineStr">
        <is>
          <t>PJ-015</t>
        </is>
      </c>
      <c r="C58" s="6" t="inlineStr">
        <is>
          <t>Escalation in structural steel and copper pricing</t>
        </is>
      </c>
      <c r="D58" s="6" t="inlineStr">
        <is>
          <t>Cost</t>
        </is>
      </c>
      <c r="E58" s="6" t="n">
        <v>3</v>
      </c>
      <c r="F58" s="6" t="n">
        <v>2</v>
      </c>
      <c r="G58" s="6" t="inlineStr">
        <is>
          <t>Accept</t>
        </is>
      </c>
      <c r="H58" s="6" t="inlineStr">
        <is>
          <t>K. Duarte</t>
        </is>
      </c>
      <c r="I58" s="6" t="inlineStr">
        <is>
          <t>Closed</t>
        </is>
      </c>
      <c r="J58" s="9" t="inlineStr">
        <is>
          <t>2026-12-17</t>
        </is>
      </c>
      <c r="K58" s="14">
        <f>E58*F58</f>
        <v/>
      </c>
    </row>
    <row r="59">
      <c r="A59" s="6" t="inlineStr">
        <is>
          <t>RK-0058</t>
        </is>
      </c>
      <c r="B59" s="6" t="inlineStr">
        <is>
          <t>PJ-015</t>
        </is>
      </c>
      <c r="C59" s="6" t="inlineStr">
        <is>
          <t>Transformer and switchgear lead times exceed 18 months</t>
        </is>
      </c>
      <c r="D59" s="6" t="inlineStr">
        <is>
          <t>Supply Chain</t>
        </is>
      </c>
      <c r="E59" s="6" t="n">
        <v>4</v>
      </c>
      <c r="F59" s="6" t="n">
        <v>4</v>
      </c>
      <c r="G59" s="6" t="inlineStr">
        <is>
          <t>Transfer</t>
        </is>
      </c>
      <c r="H59" s="6" t="inlineStr">
        <is>
          <t>K. Duarte</t>
        </is>
      </c>
      <c r="I59" s="6" t="inlineStr">
        <is>
          <t>Monitoring</t>
        </is>
      </c>
      <c r="J59" s="9" t="inlineStr">
        <is>
          <t>2027-02-11</t>
        </is>
      </c>
      <c r="K59" s="14">
        <f>E59*F59</f>
        <v/>
      </c>
    </row>
    <row r="60">
      <c r="A60" s="6" t="inlineStr">
        <is>
          <t>RK-0059</t>
        </is>
      </c>
      <c r="B60" s="6" t="inlineStr">
        <is>
          <t>PJ-015</t>
        </is>
      </c>
      <c r="C60" s="6" t="inlineStr">
        <is>
          <t>Grid connection date slips beyond facility readiness</t>
        </is>
      </c>
      <c r="D60" s="6" t="inlineStr">
        <is>
          <t>Energy &amp; Grid</t>
        </is>
      </c>
      <c r="E60" s="6" t="n">
        <v>5</v>
      </c>
      <c r="F60" s="6" t="n">
        <v>4</v>
      </c>
      <c r="G60" s="6" t="inlineStr">
        <is>
          <t>Transfer</t>
        </is>
      </c>
      <c r="H60" s="6" t="inlineStr">
        <is>
          <t>K. Duarte</t>
        </is>
      </c>
      <c r="I60" s="6" t="inlineStr">
        <is>
          <t>Open</t>
        </is>
      </c>
      <c r="J60" s="9" t="inlineStr">
        <is>
          <t>2026-07-19</t>
        </is>
      </c>
      <c r="K60" s="14">
        <f>E60*F60</f>
        <v/>
      </c>
    </row>
    <row r="61">
      <c r="A61" s="6" t="inlineStr">
        <is>
          <t>RK-0060</t>
        </is>
      </c>
      <c r="B61" s="6" t="inlineStr">
        <is>
          <t>PJ-015</t>
        </is>
      </c>
      <c r="C61" s="6" t="inlineStr">
        <is>
          <t>Commissioning window collides with summer peak load</t>
        </is>
      </c>
      <c r="D61" s="6" t="inlineStr">
        <is>
          <t>Schedule</t>
        </is>
      </c>
      <c r="E61" s="6" t="n">
        <v>4</v>
      </c>
      <c r="F61" s="6" t="n">
        <v>2</v>
      </c>
      <c r="G61" s="6" t="inlineStr">
        <is>
          <t>Mitigate</t>
        </is>
      </c>
      <c r="H61" s="6" t="inlineStr">
        <is>
          <t>K. Duarte</t>
        </is>
      </c>
      <c r="I61" s="6" t="inlineStr">
        <is>
          <t>Open</t>
        </is>
      </c>
      <c r="J61" s="9" t="inlineStr">
        <is>
          <t>2026-12-31</t>
        </is>
      </c>
      <c r="K61" s="14">
        <f>E61*F61</f>
        <v/>
      </c>
    </row>
    <row r="62">
      <c r="A62" s="6" t="inlineStr">
        <is>
          <t>RK-0061</t>
        </is>
      </c>
      <c r="B62" s="6" t="inlineStr">
        <is>
          <t>PJ-015</t>
        </is>
      </c>
      <c r="C62" s="6" t="inlineStr">
        <is>
          <t>Construction labour availability in peak season</t>
        </is>
      </c>
      <c r="D62" s="6" t="inlineStr">
        <is>
          <t>Resource</t>
        </is>
      </c>
      <c r="E62" s="6" t="n">
        <v>3</v>
      </c>
      <c r="F62" s="6" t="n">
        <v>3</v>
      </c>
      <c r="G62" s="6" t="inlineStr">
        <is>
          <t>Avoid</t>
        </is>
      </c>
      <c r="H62" s="6" t="inlineStr">
        <is>
          <t>K. Duarte</t>
        </is>
      </c>
      <c r="I62" s="6" t="inlineStr">
        <is>
          <t>Open</t>
        </is>
      </c>
      <c r="J62" s="9" t="inlineStr">
        <is>
          <t>2026-05-19</t>
        </is>
      </c>
      <c r="K62" s="14">
        <f>E62*F62</f>
        <v/>
      </c>
    </row>
    <row r="63">
      <c r="A63" s="6" t="inlineStr">
        <is>
          <t>RK-0062</t>
        </is>
      </c>
      <c r="B63" s="6" t="inlineStr">
        <is>
          <t>PJ-015</t>
        </is>
      </c>
      <c r="C63" s="6" t="inlineStr">
        <is>
          <t>Cooling plant single-sourced with no qualified alternate</t>
        </is>
      </c>
      <c r="D63" s="6" t="inlineStr">
        <is>
          <t>Supply Chain</t>
        </is>
      </c>
      <c r="E63" s="6" t="n">
        <v>4</v>
      </c>
      <c r="F63" s="6" t="n">
        <v>3</v>
      </c>
      <c r="G63" s="6" t="inlineStr">
        <is>
          <t>Mitigate</t>
        </is>
      </c>
      <c r="H63" s="6" t="inlineStr">
        <is>
          <t>K. Duarte</t>
        </is>
      </c>
      <c r="I63" s="6" t="inlineStr">
        <is>
          <t>Closed</t>
        </is>
      </c>
      <c r="J63" s="9" t="inlineStr">
        <is>
          <t>2026-10-06</t>
        </is>
      </c>
      <c r="K63" s="14">
        <f>E63*F63</f>
        <v/>
      </c>
    </row>
    <row r="64">
      <c r="A64" s="6" t="inlineStr">
        <is>
          <t>RK-0063</t>
        </is>
      </c>
      <c r="B64" s="6" t="inlineStr">
        <is>
          <t>PJ-016</t>
        </is>
      </c>
      <c r="C64" s="6" t="inlineStr">
        <is>
          <t>Escalation in structural steel and copper pricing</t>
        </is>
      </c>
      <c r="D64" s="6" t="inlineStr">
        <is>
          <t>Cost</t>
        </is>
      </c>
      <c r="E64" s="6" t="n">
        <v>3</v>
      </c>
      <c r="F64" s="6" t="n">
        <v>3</v>
      </c>
      <c r="G64" s="6" t="inlineStr">
        <is>
          <t>Mitigate</t>
        </is>
      </c>
      <c r="H64" s="6" t="inlineStr">
        <is>
          <t>K. Duarte</t>
        </is>
      </c>
      <c r="I64" s="6" t="inlineStr">
        <is>
          <t>Closed</t>
        </is>
      </c>
      <c r="J64" s="9" t="inlineStr">
        <is>
          <t>2026-07-14</t>
        </is>
      </c>
      <c r="K64" s="14">
        <f>E64*F64</f>
        <v/>
      </c>
    </row>
    <row r="65">
      <c r="A65" s="6" t="inlineStr">
        <is>
          <t>RK-0064</t>
        </is>
      </c>
      <c r="B65" s="6" t="inlineStr">
        <is>
          <t>PJ-016</t>
        </is>
      </c>
      <c r="C65" s="6" t="inlineStr">
        <is>
          <t>Water availability constraint at campus site</t>
        </is>
      </c>
      <c r="D65" s="6" t="inlineStr">
        <is>
          <t>Environmental</t>
        </is>
      </c>
      <c r="E65" s="6" t="n">
        <v>5</v>
      </c>
      <c r="F65" s="6" t="n">
        <v>3</v>
      </c>
      <c r="G65" s="6" t="inlineStr">
        <is>
          <t>Avoid</t>
        </is>
      </c>
      <c r="H65" s="6" t="inlineStr">
        <is>
          <t>K. Duarte</t>
        </is>
      </c>
      <c r="I65" s="6" t="inlineStr">
        <is>
          <t>Open</t>
        </is>
      </c>
      <c r="J65" s="9" t="inlineStr">
        <is>
          <t>2026-06-28</t>
        </is>
      </c>
      <c r="K65" s="14">
        <f>E65*F65</f>
        <v/>
      </c>
    </row>
    <row r="66">
      <c r="A66" s="6" t="inlineStr">
        <is>
          <t>RK-0065</t>
        </is>
      </c>
      <c r="B66" s="6" t="inlineStr">
        <is>
          <t>PJ-016</t>
        </is>
      </c>
      <c r="C66" s="6" t="inlineStr">
        <is>
          <t>Grid connection date slips beyond facility readiness</t>
        </is>
      </c>
      <c r="D66" s="6" t="inlineStr">
        <is>
          <t>Energy &amp; Grid</t>
        </is>
      </c>
      <c r="E66" s="6" t="n">
        <v>4</v>
      </c>
      <c r="F66" s="6" t="n">
        <v>3</v>
      </c>
      <c r="G66" s="6" t="inlineStr">
        <is>
          <t>Mitigate</t>
        </is>
      </c>
      <c r="H66" s="6" t="inlineStr">
        <is>
          <t>K. Duarte</t>
        </is>
      </c>
      <c r="I66" s="6" t="inlineStr">
        <is>
          <t>Closed</t>
        </is>
      </c>
      <c r="J66" s="9" t="inlineStr">
        <is>
          <t>2027-02-21</t>
        </is>
      </c>
      <c r="K66" s="14">
        <f>E66*F66</f>
        <v/>
      </c>
    </row>
    <row r="67">
      <c r="A67" s="6" t="inlineStr">
        <is>
          <t>RK-0066</t>
        </is>
      </c>
      <c r="B67" s="6" t="inlineStr">
        <is>
          <t>PJ-017</t>
        </is>
      </c>
      <c r="C67" s="6" t="inlineStr">
        <is>
          <t>Land handover contingent on unresolved zoning approval</t>
        </is>
      </c>
      <c r="D67" s="6" t="inlineStr">
        <is>
          <t>Regulatory</t>
        </is>
      </c>
      <c r="E67" s="6" t="n">
        <v>4</v>
      </c>
      <c r="F67" s="6" t="n">
        <v>2</v>
      </c>
      <c r="G67" s="6" t="inlineStr">
        <is>
          <t>Avoid</t>
        </is>
      </c>
      <c r="H67" s="6" t="inlineStr">
        <is>
          <t>K. Duarte</t>
        </is>
      </c>
      <c r="I67" s="6" t="inlineStr">
        <is>
          <t>Closed</t>
        </is>
      </c>
      <c r="J67" s="9" t="inlineStr">
        <is>
          <t>2026-08-16</t>
        </is>
      </c>
      <c r="K67" s="14">
        <f>E67*F67</f>
        <v/>
      </c>
    </row>
    <row r="68">
      <c r="A68" s="6" t="inlineStr">
        <is>
          <t>RK-0067</t>
        </is>
      </c>
      <c r="B68" s="6" t="inlineStr">
        <is>
          <t>PJ-017</t>
        </is>
      </c>
      <c r="C68" s="6" t="inlineStr">
        <is>
          <t>Water availability constraint at campus site</t>
        </is>
      </c>
      <c r="D68" s="6" t="inlineStr">
        <is>
          <t>Environmental</t>
        </is>
      </c>
      <c r="E68" s="6" t="n">
        <v>3</v>
      </c>
      <c r="F68" s="6" t="n">
        <v>3</v>
      </c>
      <c r="G68" s="6" t="inlineStr">
        <is>
          <t>Accept</t>
        </is>
      </c>
      <c r="H68" s="6" t="inlineStr">
        <is>
          <t>K. Duarte</t>
        </is>
      </c>
      <c r="I68" s="6" t="inlineStr">
        <is>
          <t>Monitoring</t>
        </is>
      </c>
      <c r="J68" s="9" t="inlineStr">
        <is>
          <t>2026-10-24</t>
        </is>
      </c>
      <c r="K68" s="14">
        <f>E68*F68</f>
        <v/>
      </c>
    </row>
    <row r="69">
      <c r="A69" s="6" t="inlineStr">
        <is>
          <t>RK-0068</t>
        </is>
      </c>
      <c r="B69" s="6" t="inlineStr">
        <is>
          <t>PJ-017</t>
        </is>
      </c>
      <c r="C69" s="6" t="inlineStr">
        <is>
          <t>Construction labour availability in peak season</t>
        </is>
      </c>
      <c r="D69" s="6" t="inlineStr">
        <is>
          <t>Resource</t>
        </is>
      </c>
      <c r="E69" s="6" t="n">
        <v>2</v>
      </c>
      <c r="F69" s="6" t="n">
        <v>3</v>
      </c>
      <c r="G69" s="6" t="inlineStr">
        <is>
          <t>Avoid</t>
        </is>
      </c>
      <c r="H69" s="6" t="inlineStr">
        <is>
          <t>K. Duarte</t>
        </is>
      </c>
      <c r="I69" s="6" t="inlineStr">
        <is>
          <t>Closed</t>
        </is>
      </c>
      <c r="J69" s="9" t="inlineStr">
        <is>
          <t>2026-08-05</t>
        </is>
      </c>
      <c r="K69" s="14">
        <f>E69*F69</f>
        <v/>
      </c>
    </row>
    <row r="70">
      <c r="A70" s="6" t="inlineStr">
        <is>
          <t>RK-0069</t>
        </is>
      </c>
      <c r="B70" s="6" t="inlineStr">
        <is>
          <t>PJ-017</t>
        </is>
      </c>
      <c r="C70" s="6" t="inlineStr">
        <is>
          <t>Cooling plant single-sourced with no qualified alternate</t>
        </is>
      </c>
      <c r="D70" s="6" t="inlineStr">
        <is>
          <t>Supply Chain</t>
        </is>
      </c>
      <c r="E70" s="6" t="n">
        <v>1</v>
      </c>
      <c r="F70" s="6" t="n">
        <v>1</v>
      </c>
      <c r="G70" s="6" t="inlineStr">
        <is>
          <t>Avoid</t>
        </is>
      </c>
      <c r="H70" s="6" t="inlineStr">
        <is>
          <t>K. Duarte</t>
        </is>
      </c>
      <c r="I70" s="6" t="inlineStr">
        <is>
          <t>Closed</t>
        </is>
      </c>
      <c r="J70" s="9" t="inlineStr">
        <is>
          <t>2027-01-22</t>
        </is>
      </c>
      <c r="K70" s="14">
        <f>E70*F70</f>
        <v/>
      </c>
    </row>
    <row r="71">
      <c r="A71" s="6" t="inlineStr">
        <is>
          <t>RK-0070</t>
        </is>
      </c>
      <c r="B71" s="6" t="inlineStr">
        <is>
          <t>PJ-017</t>
        </is>
      </c>
      <c r="C71" s="6" t="inlineStr">
        <is>
          <t>Escalation in structural steel and copper pricing</t>
        </is>
      </c>
      <c r="D71" s="6" t="inlineStr">
        <is>
          <t>Cost</t>
        </is>
      </c>
      <c r="E71" s="6" t="n">
        <v>2</v>
      </c>
      <c r="F71" s="6" t="n">
        <v>2</v>
      </c>
      <c r="G71" s="6" t="inlineStr">
        <is>
          <t>Mitigate</t>
        </is>
      </c>
      <c r="H71" s="6" t="inlineStr">
        <is>
          <t>K. Duarte</t>
        </is>
      </c>
      <c r="I71" s="6" t="inlineStr">
        <is>
          <t>Monitoring</t>
        </is>
      </c>
      <c r="J71" s="9" t="inlineStr">
        <is>
          <t>2027-05-04</t>
        </is>
      </c>
      <c r="K71" s="14">
        <f>E71*F71</f>
        <v/>
      </c>
    </row>
    <row r="72">
      <c r="A72" s="6" t="inlineStr">
        <is>
          <t>RK-0071</t>
        </is>
      </c>
      <c r="B72" s="6" t="inlineStr">
        <is>
          <t>PJ-017</t>
        </is>
      </c>
      <c r="C72" s="6" t="inlineStr">
        <is>
          <t>Grid connection date slips beyond facility readiness</t>
        </is>
      </c>
      <c r="D72" s="6" t="inlineStr">
        <is>
          <t>Energy &amp; Grid</t>
        </is>
      </c>
      <c r="E72" s="6" t="n">
        <v>2</v>
      </c>
      <c r="F72" s="6" t="n">
        <v>4</v>
      </c>
      <c r="G72" s="6" t="inlineStr">
        <is>
          <t>Mitigate</t>
        </is>
      </c>
      <c r="H72" s="6" t="inlineStr">
        <is>
          <t>K. Duarte</t>
        </is>
      </c>
      <c r="I72" s="6" t="inlineStr">
        <is>
          <t>Open</t>
        </is>
      </c>
      <c r="J72" s="9" t="inlineStr">
        <is>
          <t>2027-03-11</t>
        </is>
      </c>
      <c r="K72" s="14">
        <f>E72*F72</f>
        <v/>
      </c>
    </row>
    <row r="73">
      <c r="A73" s="6" t="inlineStr">
        <is>
          <t>RK-0072</t>
        </is>
      </c>
      <c r="B73" s="6" t="inlineStr">
        <is>
          <t>PJ-018</t>
        </is>
      </c>
      <c r="C73" s="6" t="inlineStr">
        <is>
          <t>Land handover contingent on unresolved zoning approval</t>
        </is>
      </c>
      <c r="D73" s="6" t="inlineStr">
        <is>
          <t>Regulatory</t>
        </is>
      </c>
      <c r="E73" s="6" t="n">
        <v>3</v>
      </c>
      <c r="F73" s="6" t="n">
        <v>4</v>
      </c>
      <c r="G73" s="6" t="inlineStr">
        <is>
          <t>Accept</t>
        </is>
      </c>
      <c r="H73" s="6" t="inlineStr">
        <is>
          <t>K. Duarte</t>
        </is>
      </c>
      <c r="I73" s="6" t="inlineStr">
        <is>
          <t>Monitoring</t>
        </is>
      </c>
      <c r="J73" s="9" t="inlineStr">
        <is>
          <t>2026-11-02</t>
        </is>
      </c>
      <c r="K73" s="14">
        <f>E73*F73</f>
        <v/>
      </c>
    </row>
    <row r="74">
      <c r="A74" s="6" t="inlineStr">
        <is>
          <t>RK-0073</t>
        </is>
      </c>
      <c r="B74" s="6" t="inlineStr">
        <is>
          <t>PJ-018</t>
        </is>
      </c>
      <c r="C74" s="6" t="inlineStr">
        <is>
          <t>Construction labour availability in peak season</t>
        </is>
      </c>
      <c r="D74" s="6" t="inlineStr">
        <is>
          <t>Resource</t>
        </is>
      </c>
      <c r="E74" s="6" t="n">
        <v>2</v>
      </c>
      <c r="F74" s="6" t="n">
        <v>5</v>
      </c>
      <c r="G74" s="6" t="inlineStr">
        <is>
          <t>Accept</t>
        </is>
      </c>
      <c r="H74" s="6" t="inlineStr">
        <is>
          <t>K. Duarte</t>
        </is>
      </c>
      <c r="I74" s="6" t="inlineStr">
        <is>
          <t>Monitoring</t>
        </is>
      </c>
      <c r="J74" s="9" t="inlineStr">
        <is>
          <t>2027-05-28</t>
        </is>
      </c>
      <c r="K74" s="14">
        <f>E74*F74</f>
        <v/>
      </c>
    </row>
    <row r="75">
      <c r="A75" s="6" t="inlineStr">
        <is>
          <t>RK-0074</t>
        </is>
      </c>
      <c r="B75" s="6" t="inlineStr">
        <is>
          <t>PJ-019</t>
        </is>
      </c>
      <c r="C75" s="6" t="inlineStr">
        <is>
          <t>Cybersecurity accreditation not complete before go-live</t>
        </is>
      </c>
      <c r="D75" s="6" t="inlineStr">
        <is>
          <t>Cyber</t>
        </is>
      </c>
      <c r="E75" s="6" t="n">
        <v>2</v>
      </c>
      <c r="F75" s="6" t="n">
        <v>5</v>
      </c>
      <c r="G75" s="6" t="inlineStr">
        <is>
          <t>Avoid</t>
        </is>
      </c>
      <c r="H75" s="6" t="inlineStr">
        <is>
          <t>T. Ivanova</t>
        </is>
      </c>
      <c r="I75" s="6" t="inlineStr">
        <is>
          <t>Monitoring</t>
        </is>
      </c>
      <c r="J75" s="9" t="inlineStr">
        <is>
          <t>2027-04-27</t>
        </is>
      </c>
      <c r="K75" s="14">
        <f>E75*F75</f>
        <v/>
      </c>
    </row>
    <row r="76">
      <c r="A76" s="6" t="inlineStr">
        <is>
          <t>RK-0075</t>
        </is>
      </c>
      <c r="B76" s="6" t="inlineStr">
        <is>
          <t>PJ-019</t>
        </is>
      </c>
      <c r="C76" s="6" t="inlineStr">
        <is>
          <t>Scarce ML platform talent attrition to private sector</t>
        </is>
      </c>
      <c r="D76" s="6" t="inlineStr">
        <is>
          <t>Talent</t>
        </is>
      </c>
      <c r="E76" s="6" t="n">
        <v>2</v>
      </c>
      <c r="F76" s="6" t="n">
        <v>2</v>
      </c>
      <c r="G76" s="6" t="inlineStr">
        <is>
          <t>Avoid</t>
        </is>
      </c>
      <c r="H76" s="6" t="inlineStr">
        <is>
          <t>T. Ivanova</t>
        </is>
      </c>
      <c r="I76" s="6" t="inlineStr">
        <is>
          <t>Open</t>
        </is>
      </c>
      <c r="J76" s="9" t="inlineStr">
        <is>
          <t>2026-11-23</t>
        </is>
      </c>
      <c r="K76" s="14">
        <f>E76*F76</f>
        <v/>
      </c>
    </row>
    <row r="77">
      <c r="A77" s="6" t="inlineStr">
        <is>
          <t>RK-0076</t>
        </is>
      </c>
      <c r="B77" s="6" t="inlineStr">
        <is>
          <t>PJ-019</t>
        </is>
      </c>
      <c r="C77" s="6" t="inlineStr">
        <is>
          <t>Training run may not converge within allocated compute budget</t>
        </is>
      </c>
      <c r="D77" s="6" t="inlineStr">
        <is>
          <t>Technical</t>
        </is>
      </c>
      <c r="E77" s="6" t="n">
        <v>2</v>
      </c>
      <c r="F77" s="6" t="n">
        <v>2</v>
      </c>
      <c r="G77" s="6" t="inlineStr">
        <is>
          <t>Accept</t>
        </is>
      </c>
      <c r="H77" s="6" t="inlineStr">
        <is>
          <t>T. Ivanova</t>
        </is>
      </c>
      <c r="I77" s="6" t="inlineStr">
        <is>
          <t>Closed</t>
        </is>
      </c>
      <c r="J77" s="9" t="inlineStr">
        <is>
          <t>2026-07-03</t>
        </is>
      </c>
      <c r="K77" s="14">
        <f>E77*F77</f>
        <v/>
      </c>
    </row>
    <row r="78">
      <c r="A78" s="6" t="inlineStr">
        <is>
          <t>RK-0077</t>
        </is>
      </c>
      <c r="B78" s="6" t="inlineStr">
        <is>
          <t>PJ-019</t>
        </is>
      </c>
      <c r="C78" s="6" t="inlineStr">
        <is>
          <t>Model evaluation standards not yet defined by regulator</t>
        </is>
      </c>
      <c r="D78" s="6" t="inlineStr">
        <is>
          <t>Regulatory</t>
        </is>
      </c>
      <c r="E78" s="6" t="n">
        <v>2</v>
      </c>
      <c r="F78" s="6" t="n">
        <v>3</v>
      </c>
      <c r="G78" s="6" t="inlineStr">
        <is>
          <t>Avoid</t>
        </is>
      </c>
      <c r="H78" s="6" t="inlineStr">
        <is>
          <t>T. Ivanova</t>
        </is>
      </c>
      <c r="I78" s="6" t="inlineStr">
        <is>
          <t>Closed</t>
        </is>
      </c>
      <c r="J78" s="9" t="inlineStr">
        <is>
          <t>2027-06-04</t>
        </is>
      </c>
      <c r="K78" s="14">
        <f>E78*F78</f>
        <v/>
      </c>
    </row>
    <row r="79">
      <c r="A79" s="6" t="inlineStr">
        <is>
          <t>RK-0078</t>
        </is>
      </c>
      <c r="B79" s="6" t="inlineStr">
        <is>
          <t>PJ-019</t>
        </is>
      </c>
      <c r="C79" s="6" t="inlineStr">
        <is>
          <t>Benchmark performance unverified at production scale</t>
        </is>
      </c>
      <c r="D79" s="6" t="inlineStr">
        <is>
          <t>Technical</t>
        </is>
      </c>
      <c r="E79" s="6" t="n">
        <v>4</v>
      </c>
      <c r="F79" s="6" t="n">
        <v>3</v>
      </c>
      <c r="G79" s="6" t="inlineStr">
        <is>
          <t>Mitigate</t>
        </is>
      </c>
      <c r="H79" s="6" t="inlineStr">
        <is>
          <t>T. Ivanova</t>
        </is>
      </c>
      <c r="I79" s="6" t="inlineStr">
        <is>
          <t>Monitoring</t>
        </is>
      </c>
      <c r="J79" s="9" t="inlineStr">
        <is>
          <t>2027-01-11</t>
        </is>
      </c>
      <c r="K79" s="14">
        <f>E79*F79</f>
        <v/>
      </c>
    </row>
    <row r="80">
      <c r="A80" s="6" t="inlineStr">
        <is>
          <t>RK-0079</t>
        </is>
      </c>
      <c r="B80" s="6" t="inlineStr">
        <is>
          <t>PJ-023</t>
        </is>
      </c>
      <c r="C80" s="6" t="inlineStr">
        <is>
          <t>Scarce ML platform talent attrition to private sector</t>
        </is>
      </c>
      <c r="D80" s="6" t="inlineStr">
        <is>
          <t>Talent</t>
        </is>
      </c>
      <c r="E80" s="6" t="n">
        <v>2</v>
      </c>
      <c r="F80" s="6" t="n">
        <v>4</v>
      </c>
      <c r="G80" s="6" t="inlineStr">
        <is>
          <t>Mitigate</t>
        </is>
      </c>
      <c r="H80" s="6" t="inlineStr">
        <is>
          <t>T. Ivanova</t>
        </is>
      </c>
      <c r="I80" s="6" t="inlineStr">
        <is>
          <t>Monitoring</t>
        </is>
      </c>
      <c r="J80" s="9" t="inlineStr">
        <is>
          <t>2026-06-21</t>
        </is>
      </c>
      <c r="K80" s="14">
        <f>E80*F80</f>
        <v/>
      </c>
    </row>
    <row r="81">
      <c r="A81" s="6" t="inlineStr">
        <is>
          <t>RK-0080</t>
        </is>
      </c>
      <c r="B81" s="6" t="inlineStr">
        <is>
          <t>PJ-023</t>
        </is>
      </c>
      <c r="C81" s="6" t="inlineStr">
        <is>
          <t>Model evaluation standards not yet defined by regulator</t>
        </is>
      </c>
      <c r="D81" s="6" t="inlineStr">
        <is>
          <t>Regulatory</t>
        </is>
      </c>
      <c r="E81" s="6" t="n">
        <v>2</v>
      </c>
      <c r="F81" s="6" t="n">
        <v>2</v>
      </c>
      <c r="G81" s="6" t="inlineStr">
        <is>
          <t>Mitigate</t>
        </is>
      </c>
      <c r="H81" s="6" t="inlineStr">
        <is>
          <t>T. Ivanova</t>
        </is>
      </c>
      <c r="I81" s="6" t="inlineStr">
        <is>
          <t>Closed</t>
        </is>
      </c>
      <c r="J81" s="9" t="inlineStr">
        <is>
          <t>2027-01-10</t>
        </is>
      </c>
      <c r="K81" s="14">
        <f>E81*F81</f>
        <v/>
      </c>
    </row>
    <row r="82">
      <c r="A82" s="6" t="inlineStr">
        <is>
          <t>RK-0081</t>
        </is>
      </c>
      <c r="B82" s="6" t="inlineStr">
        <is>
          <t>PJ-024</t>
        </is>
      </c>
      <c r="C82" s="6" t="inlineStr">
        <is>
          <t>Chip allocation reduced by vendor under global demand</t>
        </is>
      </c>
      <c r="D82" s="6" t="inlineStr">
        <is>
          <t>Supply Chain</t>
        </is>
      </c>
      <c r="E82" s="6" t="n">
        <v>2</v>
      </c>
      <c r="F82" s="6" t="n">
        <v>4</v>
      </c>
      <c r="G82" s="6" t="inlineStr">
        <is>
          <t>Transfer</t>
        </is>
      </c>
      <c r="H82" s="6" t="inlineStr">
        <is>
          <t>H. Lindqvist</t>
        </is>
      </c>
      <c r="I82" s="6" t="inlineStr">
        <is>
          <t>Open</t>
        </is>
      </c>
      <c r="J82" s="9" t="inlineStr">
        <is>
          <t>2027-05-13</t>
        </is>
      </c>
      <c r="K82" s="14">
        <f>E82*F82</f>
        <v/>
      </c>
    </row>
    <row r="83">
      <c r="A83" s="6" t="inlineStr">
        <is>
          <t>RK-0082</t>
        </is>
      </c>
      <c r="B83" s="6" t="inlineStr">
        <is>
          <t>PJ-024</t>
        </is>
      </c>
      <c r="C83" s="6" t="inlineStr">
        <is>
          <t>Export licence approval slower than programme assumption</t>
        </is>
      </c>
      <c r="D83" s="6" t="inlineStr">
        <is>
          <t>Geopolitical</t>
        </is>
      </c>
      <c r="E83" s="6" t="n">
        <v>2</v>
      </c>
      <c r="F83" s="6" t="n">
        <v>4</v>
      </c>
      <c r="G83" s="6" t="inlineStr">
        <is>
          <t>Accept</t>
        </is>
      </c>
      <c r="H83" s="6" t="inlineStr">
        <is>
          <t>H. Lindqvist</t>
        </is>
      </c>
      <c r="I83" s="6" t="inlineStr">
        <is>
          <t>Open</t>
        </is>
      </c>
      <c r="J83" s="9" t="inlineStr">
        <is>
          <t>2026-08-10</t>
        </is>
      </c>
      <c r="K83" s="14">
        <f>E83*F83</f>
        <v/>
      </c>
    </row>
    <row r="84">
      <c r="A84" s="6" t="inlineStr">
        <is>
          <t>RK-0083</t>
        </is>
      </c>
      <c r="B84" s="6" t="inlineStr">
        <is>
          <t>PJ-024</t>
        </is>
      </c>
      <c r="C84" s="6" t="inlineStr">
        <is>
          <t>Data adequacy ruling may require architecture rework</t>
        </is>
      </c>
      <c r="D84" s="6" t="inlineStr">
        <is>
          <t>Regulatory</t>
        </is>
      </c>
      <c r="E84" s="6" t="n">
        <v>3</v>
      </c>
      <c r="F84" s="6" t="n">
        <v>2</v>
      </c>
      <c r="G84" s="6" t="inlineStr">
        <is>
          <t>Avoid</t>
        </is>
      </c>
      <c r="H84" s="6" t="inlineStr">
        <is>
          <t>H. Lindqvist</t>
        </is>
      </c>
      <c r="I84" s="6" t="inlineStr">
        <is>
          <t>Monitoring</t>
        </is>
      </c>
      <c r="J84" s="9" t="inlineStr">
        <is>
          <t>2026-08-11</t>
        </is>
      </c>
      <c r="K84" s="14">
        <f>E84*F84</f>
        <v/>
      </c>
    </row>
    <row r="85">
      <c r="A85" s="6" t="inlineStr">
        <is>
          <t>RK-0084</t>
        </is>
      </c>
      <c r="B85" s="6" t="inlineStr">
        <is>
          <t>PJ-024</t>
        </is>
      </c>
      <c r="C85" s="6" t="inlineStr">
        <is>
          <t>Counterpart position may shift after national elections</t>
        </is>
      </c>
      <c r="D85" s="6" t="inlineStr">
        <is>
          <t>Geopolitical</t>
        </is>
      </c>
      <c r="E85" s="6" t="n">
        <v>2</v>
      </c>
      <c r="F85" s="6" t="n">
        <v>3</v>
      </c>
      <c r="G85" s="6" t="inlineStr">
        <is>
          <t>Mitigate</t>
        </is>
      </c>
      <c r="H85" s="6" t="inlineStr">
        <is>
          <t>H. Lindqvist</t>
        </is>
      </c>
      <c r="I85" s="6" t="inlineStr">
        <is>
          <t>Open</t>
        </is>
      </c>
      <c r="J85" s="9" t="inlineStr">
        <is>
          <t>2027-03-16</t>
        </is>
      </c>
      <c r="K85" s="14">
        <f>E85*F85</f>
        <v/>
      </c>
    </row>
    <row r="86">
      <c r="A86" s="6" t="inlineStr">
        <is>
          <t>RK-0085</t>
        </is>
      </c>
      <c r="B86" s="6" t="inlineStr">
        <is>
          <t>PJ-024</t>
        </is>
      </c>
      <c r="C86" s="6" t="inlineStr">
        <is>
          <t>Counterpart legal review extends beyond target signature</t>
        </is>
      </c>
      <c r="D86" s="6" t="inlineStr">
        <is>
          <t>Schedule</t>
        </is>
      </c>
      <c r="E86" s="6" t="n">
        <v>2</v>
      </c>
      <c r="F86" s="6" t="n">
        <v>3</v>
      </c>
      <c r="G86" s="6" t="inlineStr">
        <is>
          <t>Mitigate</t>
        </is>
      </c>
      <c r="H86" s="6" t="inlineStr">
        <is>
          <t>H. Lindqvist</t>
        </is>
      </c>
      <c r="I86" s="6" t="inlineStr">
        <is>
          <t>Open</t>
        </is>
      </c>
      <c r="J86" s="9" t="inlineStr">
        <is>
          <t>2026-10-03</t>
        </is>
      </c>
      <c r="K86" s="14">
        <f>E86*F86</f>
        <v/>
      </c>
    </row>
    <row r="87">
      <c r="A87" s="6" t="inlineStr">
        <is>
          <t>RK-0086</t>
        </is>
      </c>
      <c r="B87" s="6" t="inlineStr">
        <is>
          <t>PJ-025</t>
        </is>
      </c>
      <c r="C87" s="6" t="inlineStr">
        <is>
          <t>Currency exposure on multi-year hardware commitment</t>
        </is>
      </c>
      <c r="D87" s="6" t="inlineStr">
        <is>
          <t>Cost</t>
        </is>
      </c>
      <c r="E87" s="6" t="n">
        <v>3</v>
      </c>
      <c r="F87" s="6" t="n">
        <v>3</v>
      </c>
      <c r="G87" s="6" t="inlineStr">
        <is>
          <t>Transfer</t>
        </is>
      </c>
      <c r="H87" s="6" t="inlineStr">
        <is>
          <t>H. Lindqvist</t>
        </is>
      </c>
      <c r="I87" s="6" t="inlineStr">
        <is>
          <t>Open</t>
        </is>
      </c>
      <c r="J87" s="9" t="inlineStr">
        <is>
          <t>2027-03-13</t>
        </is>
      </c>
      <c r="K87" s="14">
        <f>E87*F87</f>
        <v/>
      </c>
    </row>
    <row r="88">
      <c r="A88" s="6" t="inlineStr">
        <is>
          <t>RK-0087</t>
        </is>
      </c>
      <c r="B88" s="6" t="inlineStr">
        <is>
          <t>PJ-025</t>
        </is>
      </c>
      <c r="C88" s="6" t="inlineStr">
        <is>
          <t>Counterpart legal review extends beyond target signature</t>
        </is>
      </c>
      <c r="D88" s="6" t="inlineStr">
        <is>
          <t>Schedule</t>
        </is>
      </c>
      <c r="E88" s="6" t="n">
        <v>2</v>
      </c>
      <c r="F88" s="6" t="n">
        <v>2</v>
      </c>
      <c r="G88" s="6" t="inlineStr">
        <is>
          <t>Mitigate</t>
        </is>
      </c>
      <c r="H88" s="6" t="inlineStr">
        <is>
          <t>H. Lindqvist</t>
        </is>
      </c>
      <c r="I88" s="6" t="inlineStr">
        <is>
          <t>Closed</t>
        </is>
      </c>
      <c r="J88" s="9" t="inlineStr">
        <is>
          <t>2026-10-16</t>
        </is>
      </c>
      <c r="K88" s="14">
        <f>E88*F88</f>
        <v/>
      </c>
    </row>
    <row r="89">
      <c r="A89" s="6" t="inlineStr">
        <is>
          <t>RK-0088</t>
        </is>
      </c>
      <c r="B89" s="6" t="inlineStr">
        <is>
          <t>PJ-025</t>
        </is>
      </c>
      <c r="C89" s="6" t="inlineStr">
        <is>
          <t>Sanctions regime change affects delivery route</t>
        </is>
      </c>
      <c r="D89" s="6" t="inlineStr">
        <is>
          <t>Geopolitical</t>
        </is>
      </c>
      <c r="E89" s="6" t="n">
        <v>3</v>
      </c>
      <c r="F89" s="6" t="n">
        <v>4</v>
      </c>
      <c r="G89" s="6" t="inlineStr">
        <is>
          <t>Mitigate</t>
        </is>
      </c>
      <c r="H89" s="6" t="inlineStr">
        <is>
          <t>H. Lindqvist</t>
        </is>
      </c>
      <c r="I89" s="6" t="inlineStr">
        <is>
          <t>Open</t>
        </is>
      </c>
      <c r="J89" s="9" t="inlineStr">
        <is>
          <t>2026-10-02</t>
        </is>
      </c>
      <c r="K89" s="14">
        <f>E89*F89</f>
        <v/>
      </c>
    </row>
    <row r="90">
      <c r="A90" s="6" t="inlineStr">
        <is>
          <t>RK-0089</t>
        </is>
      </c>
      <c r="B90" s="6" t="inlineStr">
        <is>
          <t>PJ-025</t>
        </is>
      </c>
      <c r="C90" s="6" t="inlineStr">
        <is>
          <t>Offset and local-content obligations not yet costed</t>
        </is>
      </c>
      <c r="D90" s="6" t="inlineStr">
        <is>
          <t>Cost</t>
        </is>
      </c>
      <c r="E90" s="6" t="n">
        <v>5</v>
      </c>
      <c r="F90" s="6" t="n">
        <v>4</v>
      </c>
      <c r="G90" s="6" t="inlineStr">
        <is>
          <t>Mitigate</t>
        </is>
      </c>
      <c r="H90" s="6" t="inlineStr">
        <is>
          <t>H. Lindqvist</t>
        </is>
      </c>
      <c r="I90" s="6" t="inlineStr">
        <is>
          <t>Closed</t>
        </is>
      </c>
      <c r="J90" s="9" t="inlineStr">
        <is>
          <t>2026-12-05</t>
        </is>
      </c>
      <c r="K90" s="14">
        <f>E90*F90</f>
        <v/>
      </c>
    </row>
    <row r="91">
      <c r="A91" s="6" t="inlineStr">
        <is>
          <t>RK-0090</t>
        </is>
      </c>
      <c r="B91" s="6" t="inlineStr">
        <is>
          <t>PJ-025</t>
        </is>
      </c>
      <c r="C91" s="6" t="inlineStr">
        <is>
          <t>Chip allocation reduced by vendor under global demand</t>
        </is>
      </c>
      <c r="D91" s="6" t="inlineStr">
        <is>
          <t>Supply Chain</t>
        </is>
      </c>
      <c r="E91" s="6" t="n">
        <v>2</v>
      </c>
      <c r="F91" s="6" t="n">
        <v>3</v>
      </c>
      <c r="G91" s="6" t="inlineStr">
        <is>
          <t>Transfer</t>
        </is>
      </c>
      <c r="H91" s="6" t="inlineStr">
        <is>
          <t>H. Lindqvist</t>
        </is>
      </c>
      <c r="I91" s="6" t="inlineStr">
        <is>
          <t>Monitoring</t>
        </is>
      </c>
      <c r="J91" s="9" t="inlineStr">
        <is>
          <t>2027-02-24</t>
        </is>
      </c>
      <c r="K91" s="14">
        <f>E91*F91</f>
        <v/>
      </c>
    </row>
    <row r="92">
      <c r="A92" s="6" t="inlineStr">
        <is>
          <t>RK-0091</t>
        </is>
      </c>
      <c r="B92" s="6" t="inlineStr">
        <is>
          <t>PJ-025</t>
        </is>
      </c>
      <c r="C92" s="6" t="inlineStr">
        <is>
          <t>Data adequacy ruling may require architecture rework</t>
        </is>
      </c>
      <c r="D92" s="6" t="inlineStr">
        <is>
          <t>Regulatory</t>
        </is>
      </c>
      <c r="E92" s="6" t="n">
        <v>3</v>
      </c>
      <c r="F92" s="6" t="n">
        <v>4</v>
      </c>
      <c r="G92" s="6" t="inlineStr">
        <is>
          <t>Avoid</t>
        </is>
      </c>
      <c r="H92" s="6" t="inlineStr">
        <is>
          <t>H. Lindqvist</t>
        </is>
      </c>
      <c r="I92" s="6" t="inlineStr">
        <is>
          <t>Open</t>
        </is>
      </c>
      <c r="J92" s="9" t="inlineStr">
        <is>
          <t>2027-05-01</t>
        </is>
      </c>
      <c r="K92" s="14">
        <f>E92*F92</f>
        <v/>
      </c>
    </row>
    <row r="93">
      <c r="A93" s="6" t="inlineStr">
        <is>
          <t>RK-0092</t>
        </is>
      </c>
      <c r="B93" s="6" t="inlineStr">
        <is>
          <t>PJ-026</t>
        </is>
      </c>
      <c r="C93" s="6" t="inlineStr">
        <is>
          <t>Counterpart legal review extends beyond target signature</t>
        </is>
      </c>
      <c r="D93" s="6" t="inlineStr">
        <is>
          <t>Schedule</t>
        </is>
      </c>
      <c r="E93" s="6" t="n">
        <v>3</v>
      </c>
      <c r="F93" s="6" t="n">
        <v>2</v>
      </c>
      <c r="G93" s="6" t="inlineStr">
        <is>
          <t>Accept</t>
        </is>
      </c>
      <c r="H93" s="6" t="inlineStr">
        <is>
          <t>H. Lindqvist</t>
        </is>
      </c>
      <c r="I93" s="6" t="inlineStr">
        <is>
          <t>Open</t>
        </is>
      </c>
      <c r="J93" s="9" t="inlineStr">
        <is>
          <t>2026-06-17</t>
        </is>
      </c>
      <c r="K93" s="14">
        <f>E93*F93</f>
        <v/>
      </c>
    </row>
    <row r="94">
      <c r="A94" s="6" t="inlineStr">
        <is>
          <t>RK-0093</t>
        </is>
      </c>
      <c r="B94" s="6" t="inlineStr">
        <is>
          <t>PJ-026</t>
        </is>
      </c>
      <c r="C94" s="6" t="inlineStr">
        <is>
          <t>Export licence approval slower than programme assumption</t>
        </is>
      </c>
      <c r="D94" s="6" t="inlineStr">
        <is>
          <t>Geopolitical</t>
        </is>
      </c>
      <c r="E94" s="6" t="n">
        <v>3</v>
      </c>
      <c r="F94" s="6" t="n">
        <v>2</v>
      </c>
      <c r="G94" s="6" t="inlineStr">
        <is>
          <t>Accept</t>
        </is>
      </c>
      <c r="H94" s="6" t="inlineStr">
        <is>
          <t>H. Lindqvist</t>
        </is>
      </c>
      <c r="I94" s="6" t="inlineStr">
        <is>
          <t>Open</t>
        </is>
      </c>
      <c r="J94" s="9" t="inlineStr">
        <is>
          <t>2026-05-21</t>
        </is>
      </c>
      <c r="K94" s="14">
        <f>E94*F94</f>
        <v/>
      </c>
    </row>
    <row r="95">
      <c r="A95" s="6" t="inlineStr">
        <is>
          <t>RK-0094</t>
        </is>
      </c>
      <c r="B95" s="6" t="inlineStr">
        <is>
          <t>PJ-030</t>
        </is>
      </c>
      <c r="C95" s="6" t="inlineStr">
        <is>
          <t>Cooling plant single-sourced with no qualified alternate</t>
        </is>
      </c>
      <c r="D95" s="6" t="inlineStr">
        <is>
          <t>Supply Chain</t>
        </is>
      </c>
      <c r="E95" s="6" t="n">
        <v>2</v>
      </c>
      <c r="F95" s="6" t="n">
        <v>2</v>
      </c>
      <c r="G95" s="6" t="inlineStr">
        <is>
          <t>Mitigate</t>
        </is>
      </c>
      <c r="H95" s="6" t="inlineStr">
        <is>
          <t>J. Alvarez</t>
        </is>
      </c>
      <c r="I95" s="6" t="inlineStr">
        <is>
          <t>Open</t>
        </is>
      </c>
      <c r="J95" s="9" t="inlineStr">
        <is>
          <t>2026-10-18</t>
        </is>
      </c>
      <c r="K95" s="14">
        <f>E95*F95</f>
        <v/>
      </c>
    </row>
    <row r="96">
      <c r="A96" s="6" t="inlineStr">
        <is>
          <t>RK-0095</t>
        </is>
      </c>
      <c r="B96" s="6" t="inlineStr">
        <is>
          <t>PJ-030</t>
        </is>
      </c>
      <c r="C96" s="6" t="inlineStr">
        <is>
          <t>Grid connection date slips beyond facility readiness</t>
        </is>
      </c>
      <c r="D96" s="6" t="inlineStr">
        <is>
          <t>Energy &amp; Grid</t>
        </is>
      </c>
      <c r="E96" s="6" t="n">
        <v>3</v>
      </c>
      <c r="F96" s="6" t="n">
        <v>3</v>
      </c>
      <c r="G96" s="6" t="inlineStr">
        <is>
          <t>Transfer</t>
        </is>
      </c>
      <c r="H96" s="6" t="inlineStr">
        <is>
          <t>J. Alvarez</t>
        </is>
      </c>
      <c r="I96" s="6" t="inlineStr">
        <is>
          <t>Open</t>
        </is>
      </c>
      <c r="J96" s="9" t="inlineStr">
        <is>
          <t>2026-12-15</t>
        </is>
      </c>
      <c r="K96" s="14">
        <f>E96*F96</f>
        <v/>
      </c>
    </row>
    <row r="97">
      <c r="A97" s="6" t="inlineStr">
        <is>
          <t>RK-0096</t>
        </is>
      </c>
      <c r="B97" s="6" t="inlineStr">
        <is>
          <t>PJ-030</t>
        </is>
      </c>
      <c r="C97" s="6" t="inlineStr">
        <is>
          <t>Water availability constraint at campus site</t>
        </is>
      </c>
      <c r="D97" s="6" t="inlineStr">
        <is>
          <t>Environmental</t>
        </is>
      </c>
      <c r="E97" s="6" t="n">
        <v>3</v>
      </c>
      <c r="F97" s="6" t="n">
        <v>1</v>
      </c>
      <c r="G97" s="6" t="inlineStr">
        <is>
          <t>Mitigate</t>
        </is>
      </c>
      <c r="H97" s="6" t="inlineStr">
        <is>
          <t>J. Alvarez</t>
        </is>
      </c>
      <c r="I97" s="6" t="inlineStr">
        <is>
          <t>Open</t>
        </is>
      </c>
      <c r="J97" s="9" t="inlineStr">
        <is>
          <t>2027-05-24</t>
        </is>
      </c>
      <c r="K97" s="14">
        <f>E97*F97</f>
        <v/>
      </c>
    </row>
    <row r="98">
      <c r="A98" s="6" t="inlineStr">
        <is>
          <t>RK-0097</t>
        </is>
      </c>
      <c r="B98" s="6" t="inlineStr">
        <is>
          <t>PJ-030</t>
        </is>
      </c>
      <c r="C98" s="6" t="inlineStr">
        <is>
          <t>Transformer and switchgear lead times exceed 18 months</t>
        </is>
      </c>
      <c r="D98" s="6" t="inlineStr">
        <is>
          <t>Supply Chain</t>
        </is>
      </c>
      <c r="E98" s="6" t="n">
        <v>1</v>
      </c>
      <c r="F98" s="6" t="n">
        <v>3</v>
      </c>
      <c r="G98" s="6" t="inlineStr">
        <is>
          <t>Mitigate</t>
        </is>
      </c>
      <c r="H98" s="6" t="inlineStr">
        <is>
          <t>J. Alvarez</t>
        </is>
      </c>
      <c r="I98" s="6" t="inlineStr">
        <is>
          <t>Monitoring</t>
        </is>
      </c>
      <c r="J98" s="9" t="inlineStr">
        <is>
          <t>2027-03-08</t>
        </is>
      </c>
      <c r="K98" s="14">
        <f>E98*F98</f>
        <v/>
      </c>
    </row>
    <row r="99">
      <c r="A99" s="6" t="inlineStr">
        <is>
          <t>RK-0098</t>
        </is>
      </c>
      <c r="B99" s="6" t="inlineStr">
        <is>
          <t>PJ-034</t>
        </is>
      </c>
      <c r="C99" s="6" t="inlineStr">
        <is>
          <t>Benchmark performance unverified at production scale</t>
        </is>
      </c>
      <c r="D99" s="6" t="inlineStr">
        <is>
          <t>Technical</t>
        </is>
      </c>
      <c r="E99" s="6" t="n">
        <v>4</v>
      </c>
      <c r="F99" s="6" t="n">
        <v>2</v>
      </c>
      <c r="G99" s="6" t="inlineStr">
        <is>
          <t>Accept</t>
        </is>
      </c>
      <c r="H99" s="6" t="inlineStr">
        <is>
          <t>C. Nwosu</t>
        </is>
      </c>
      <c r="I99" s="6" t="inlineStr">
        <is>
          <t>Monitoring</t>
        </is>
      </c>
      <c r="J99" s="9" t="inlineStr">
        <is>
          <t>2026-09-29</t>
        </is>
      </c>
      <c r="K99" s="14">
        <f>E99*F99</f>
        <v/>
      </c>
    </row>
    <row r="100">
      <c r="A100" s="6" t="inlineStr">
        <is>
          <t>RK-0099</t>
        </is>
      </c>
      <c r="B100" s="6" t="inlineStr">
        <is>
          <t>PJ-034</t>
        </is>
      </c>
      <c r="C100" s="6" t="inlineStr">
        <is>
          <t>Training run may not converge within allocated compute budget</t>
        </is>
      </c>
      <c r="D100" s="6" t="inlineStr">
        <is>
          <t>Technical</t>
        </is>
      </c>
      <c r="E100" s="6" t="n">
        <v>3</v>
      </c>
      <c r="F100" s="6" t="n">
        <v>2</v>
      </c>
      <c r="G100" s="6" t="inlineStr">
        <is>
          <t>Transfer</t>
        </is>
      </c>
      <c r="H100" s="6" t="inlineStr">
        <is>
          <t>C. Nwosu</t>
        </is>
      </c>
      <c r="I100" s="6" t="inlineStr">
        <is>
          <t>Closed</t>
        </is>
      </c>
      <c r="J100" s="9" t="inlineStr">
        <is>
          <t>2027-03-25</t>
        </is>
      </c>
      <c r="K100" s="14">
        <f>E100*F100</f>
        <v/>
      </c>
    </row>
    <row r="101">
      <c r="A101" s="6" t="inlineStr">
        <is>
          <t>RK-0100</t>
        </is>
      </c>
      <c r="B101" s="6" t="inlineStr">
        <is>
          <t>PJ-034</t>
        </is>
      </c>
      <c r="C101" s="6" t="inlineStr">
        <is>
          <t>Dependency on a single accelerator generation</t>
        </is>
      </c>
      <c r="D101" s="6" t="inlineStr">
        <is>
          <t>Vendor</t>
        </is>
      </c>
      <c r="E101" s="6" t="n">
        <v>3</v>
      </c>
      <c r="F101" s="6" t="n">
        <v>3</v>
      </c>
      <c r="G101" s="6" t="inlineStr">
        <is>
          <t>Accept</t>
        </is>
      </c>
      <c r="H101" s="6" t="inlineStr">
        <is>
          <t>C. Nwosu</t>
        </is>
      </c>
      <c r="I101" s="6" t="inlineStr">
        <is>
          <t>Open</t>
        </is>
      </c>
      <c r="J101" s="9" t="inlineStr">
        <is>
          <t>2026-05-24</t>
        </is>
      </c>
      <c r="K101" s="14">
        <f>E101*F101</f>
        <v/>
      </c>
    </row>
    <row r="102">
      <c r="A102" s="6" t="inlineStr">
        <is>
          <t>RK-0101</t>
        </is>
      </c>
      <c r="B102" s="6" t="inlineStr">
        <is>
          <t>PJ-034</t>
        </is>
      </c>
      <c r="C102" s="6" t="inlineStr">
        <is>
          <t>Upstream data quality insufficient for target accuracy</t>
        </is>
      </c>
      <c r="D102" s="6" t="inlineStr">
        <is>
          <t>Technical</t>
        </is>
      </c>
      <c r="E102" s="6" t="n">
        <v>4</v>
      </c>
      <c r="F102" s="6" t="n">
        <v>3</v>
      </c>
      <c r="G102" s="6" t="inlineStr">
        <is>
          <t>Accept</t>
        </is>
      </c>
      <c r="H102" s="6" t="inlineStr">
        <is>
          <t>C. Nwosu</t>
        </is>
      </c>
      <c r="I102" s="6" t="inlineStr">
        <is>
          <t>Monitoring</t>
        </is>
      </c>
      <c r="J102" s="9" t="inlineStr">
        <is>
          <t>2026-12-17</t>
        </is>
      </c>
      <c r="K102" s="14">
        <f>E102*F102</f>
        <v/>
      </c>
    </row>
    <row r="103">
      <c r="A103" s="6" t="inlineStr">
        <is>
          <t>RK-0102</t>
        </is>
      </c>
      <c r="B103" s="6" t="inlineStr">
        <is>
          <t>PJ-035</t>
        </is>
      </c>
      <c r="C103" s="6" t="inlineStr">
        <is>
          <t>Upstream data quality insufficient for target accuracy</t>
        </is>
      </c>
      <c r="D103" s="6" t="inlineStr">
        <is>
          <t>Technical</t>
        </is>
      </c>
      <c r="E103" s="6" t="n">
        <v>2</v>
      </c>
      <c r="F103" s="6" t="n">
        <v>5</v>
      </c>
      <c r="G103" s="6" t="inlineStr">
        <is>
          <t>Mitigate</t>
        </is>
      </c>
      <c r="H103" s="6" t="inlineStr">
        <is>
          <t>C. Nwosu</t>
        </is>
      </c>
      <c r="I103" s="6" t="inlineStr">
        <is>
          <t>Monitoring</t>
        </is>
      </c>
      <c r="J103" s="9" t="inlineStr">
        <is>
          <t>2027-02-27</t>
        </is>
      </c>
      <c r="K103" s="14">
        <f>E103*F103</f>
        <v/>
      </c>
    </row>
    <row r="104">
      <c r="A104" s="6" t="inlineStr">
        <is>
          <t>RK-0103</t>
        </is>
      </c>
      <c r="B104" s="6" t="inlineStr">
        <is>
          <t>PJ-036</t>
        </is>
      </c>
      <c r="C104" s="6" t="inlineStr">
        <is>
          <t>Benchmark performance unverified at production scale</t>
        </is>
      </c>
      <c r="D104" s="6" t="inlineStr">
        <is>
          <t>Technical</t>
        </is>
      </c>
      <c r="E104" s="6" t="n">
        <v>5</v>
      </c>
      <c r="F104" s="6" t="n">
        <v>3</v>
      </c>
      <c r="G104" s="6" t="inlineStr">
        <is>
          <t>Accept</t>
        </is>
      </c>
      <c r="H104" s="6" t="inlineStr">
        <is>
          <t>C. Nwosu</t>
        </is>
      </c>
      <c r="I104" s="6" t="inlineStr">
        <is>
          <t>Open</t>
        </is>
      </c>
      <c r="J104" s="9" t="inlineStr">
        <is>
          <t>2026-08-28</t>
        </is>
      </c>
      <c r="K104" s="14">
        <f>E104*F104</f>
        <v/>
      </c>
    </row>
    <row r="105">
      <c r="A105" s="6" t="inlineStr">
        <is>
          <t>RK-0104</t>
        </is>
      </c>
      <c r="B105" s="6" t="inlineStr">
        <is>
          <t>PJ-036</t>
        </is>
      </c>
      <c r="C105" s="6" t="inlineStr">
        <is>
          <t>Upstream data quality insufficient for target accuracy</t>
        </is>
      </c>
      <c r="D105" s="6" t="inlineStr">
        <is>
          <t>Technical</t>
        </is>
      </c>
      <c r="E105" s="6" t="n">
        <v>3</v>
      </c>
      <c r="F105" s="6" t="n">
        <v>2</v>
      </c>
      <c r="G105" s="6" t="inlineStr">
        <is>
          <t>Avoid</t>
        </is>
      </c>
      <c r="H105" s="6" t="inlineStr">
        <is>
          <t>C. Nwosu</t>
        </is>
      </c>
      <c r="I105" s="6" t="inlineStr">
        <is>
          <t>Open</t>
        </is>
      </c>
      <c r="J105" s="9" t="inlineStr">
        <is>
          <t>2026-07-02</t>
        </is>
      </c>
      <c r="K105" s="14">
        <f>E105*F105</f>
        <v/>
      </c>
    </row>
    <row r="106">
      <c r="A106" s="6" t="inlineStr">
        <is>
          <t>RK-0105</t>
        </is>
      </c>
      <c r="B106" s="6" t="inlineStr">
        <is>
          <t>PJ-037</t>
        </is>
      </c>
      <c r="C106" s="6" t="inlineStr">
        <is>
          <t>Inference cost per token above commercial viability</t>
        </is>
      </c>
      <c r="D106" s="6" t="inlineStr">
        <is>
          <t>Cost</t>
        </is>
      </c>
      <c r="E106" s="6" t="n">
        <v>3</v>
      </c>
      <c r="F106" s="6" t="n">
        <v>3</v>
      </c>
      <c r="G106" s="6" t="inlineStr">
        <is>
          <t>Mitigate</t>
        </is>
      </c>
      <c r="H106" s="6" t="inlineStr">
        <is>
          <t>C. Nwosu</t>
        </is>
      </c>
      <c r="I106" s="6" t="inlineStr">
        <is>
          <t>Monitoring</t>
        </is>
      </c>
      <c r="J106" s="9" t="inlineStr">
        <is>
          <t>2026-08-10</t>
        </is>
      </c>
      <c r="K106" s="14">
        <f>E106*F106</f>
        <v/>
      </c>
    </row>
    <row r="107">
      <c r="A107" s="6" t="inlineStr">
        <is>
          <t>RK-0106</t>
        </is>
      </c>
      <c r="B107" s="6" t="inlineStr">
        <is>
          <t>PJ-037</t>
        </is>
      </c>
      <c r="C107" s="6" t="inlineStr">
        <is>
          <t>Dependency on a single accelerator generation</t>
        </is>
      </c>
      <c r="D107" s="6" t="inlineStr">
        <is>
          <t>Vendor</t>
        </is>
      </c>
      <c r="E107" s="6" t="n">
        <v>2</v>
      </c>
      <c r="F107" s="6" t="n">
        <v>2</v>
      </c>
      <c r="G107" s="6" t="inlineStr">
        <is>
          <t>Avoid</t>
        </is>
      </c>
      <c r="H107" s="6" t="inlineStr">
        <is>
          <t>C. Nwosu</t>
        </is>
      </c>
      <c r="I107" s="6" t="inlineStr">
        <is>
          <t>Open</t>
        </is>
      </c>
      <c r="J107" s="9" t="inlineStr">
        <is>
          <t>2026-09-20</t>
        </is>
      </c>
      <c r="K107" s="14">
        <f>E107*F107</f>
        <v/>
      </c>
    </row>
    <row r="108">
      <c r="A108" s="6" t="inlineStr">
        <is>
          <t>RK-0107</t>
        </is>
      </c>
      <c r="B108" s="6" t="inlineStr">
        <is>
          <t>PJ-038</t>
        </is>
      </c>
      <c r="C108" s="6" t="inlineStr">
        <is>
          <t>Inference cost per token above commercial viability</t>
        </is>
      </c>
      <c r="D108" s="6" t="inlineStr">
        <is>
          <t>Cost</t>
        </is>
      </c>
      <c r="E108" s="6" t="n">
        <v>2</v>
      </c>
      <c r="F108" s="6" t="n">
        <v>1</v>
      </c>
      <c r="G108" s="6" t="inlineStr">
        <is>
          <t>Avoid</t>
        </is>
      </c>
      <c r="H108" s="6" t="inlineStr">
        <is>
          <t>C. Nwosu</t>
        </is>
      </c>
      <c r="I108" s="6" t="inlineStr">
        <is>
          <t>Monitoring</t>
        </is>
      </c>
      <c r="J108" s="9" t="inlineStr">
        <is>
          <t>2027-06-09</t>
        </is>
      </c>
      <c r="K108" s="14">
        <f>E108*F108</f>
        <v/>
      </c>
    </row>
    <row r="109">
      <c r="A109" s="6" t="inlineStr">
        <is>
          <t>RK-0108</t>
        </is>
      </c>
      <c r="B109" s="6" t="inlineStr">
        <is>
          <t>PJ-038</t>
        </is>
      </c>
      <c r="C109" s="6" t="inlineStr">
        <is>
          <t>Training run may not converge within allocated compute budget</t>
        </is>
      </c>
      <c r="D109" s="6" t="inlineStr">
        <is>
          <t>Technical</t>
        </is>
      </c>
      <c r="E109" s="6" t="n">
        <v>2</v>
      </c>
      <c r="F109" s="6" t="n">
        <v>4</v>
      </c>
      <c r="G109" s="6" t="inlineStr">
        <is>
          <t>Accept</t>
        </is>
      </c>
      <c r="H109" s="6" t="inlineStr">
        <is>
          <t>C. Nwosu</t>
        </is>
      </c>
      <c r="I109" s="6" t="inlineStr">
        <is>
          <t>Open</t>
        </is>
      </c>
      <c r="J109" s="9" t="inlineStr">
        <is>
          <t>2027-02-28</t>
        </is>
      </c>
      <c r="K109" s="14">
        <f>E109*F109</f>
        <v/>
      </c>
    </row>
    <row r="110">
      <c r="A110" s="6" t="inlineStr">
        <is>
          <t>RK-0109</t>
        </is>
      </c>
      <c r="B110" s="6" t="inlineStr">
        <is>
          <t>PJ-038</t>
        </is>
      </c>
      <c r="C110" s="6" t="inlineStr">
        <is>
          <t>Upstream data quality insufficient for target accuracy</t>
        </is>
      </c>
      <c r="D110" s="6" t="inlineStr">
        <is>
          <t>Technical</t>
        </is>
      </c>
      <c r="E110" s="6" t="n">
        <v>4</v>
      </c>
      <c r="F110" s="6" t="n">
        <v>2</v>
      </c>
      <c r="G110" s="6" t="inlineStr">
        <is>
          <t>Transfer</t>
        </is>
      </c>
      <c r="H110" s="6" t="inlineStr">
        <is>
          <t>C. Nwosu</t>
        </is>
      </c>
      <c r="I110" s="6" t="inlineStr">
        <is>
          <t>Open</t>
        </is>
      </c>
      <c r="J110" s="9" t="inlineStr">
        <is>
          <t>2026-07-23</t>
        </is>
      </c>
      <c r="K110" s="14">
        <f>E110*F110</f>
        <v/>
      </c>
    </row>
    <row r="111">
      <c r="A111" s="6" t="inlineStr">
        <is>
          <t>RK-0110</t>
        </is>
      </c>
      <c r="B111" s="6" t="inlineStr">
        <is>
          <t>PJ-038</t>
        </is>
      </c>
      <c r="C111" s="6" t="inlineStr">
        <is>
          <t>Scarce ML platform talent attrition to private sector</t>
        </is>
      </c>
      <c r="D111" s="6" t="inlineStr">
        <is>
          <t>Talent</t>
        </is>
      </c>
      <c r="E111" s="6" t="n">
        <v>3</v>
      </c>
      <c r="F111" s="6" t="n">
        <v>3</v>
      </c>
      <c r="G111" s="6" t="inlineStr">
        <is>
          <t>Accept</t>
        </is>
      </c>
      <c r="H111" s="6" t="inlineStr">
        <is>
          <t>C. Nwosu</t>
        </is>
      </c>
      <c r="I111" s="6" t="inlineStr">
        <is>
          <t>Open</t>
        </is>
      </c>
      <c r="J111" s="9" t="inlineStr">
        <is>
          <t>2027-05-26</t>
        </is>
      </c>
      <c r="K111" s="14">
        <f>E111*F111</f>
        <v/>
      </c>
    </row>
    <row r="112">
      <c r="A112" s="6" t="inlineStr">
        <is>
          <t>RK-0111</t>
        </is>
      </c>
      <c r="B112" s="6" t="inlineStr">
        <is>
          <t>PJ-039</t>
        </is>
      </c>
      <c r="C112" s="6" t="inlineStr">
        <is>
          <t>Operating model for post-go-live support undefined</t>
        </is>
      </c>
      <c r="D112" s="6" t="inlineStr">
        <is>
          <t>Resource</t>
        </is>
      </c>
      <c r="E112" s="6" t="n">
        <v>3</v>
      </c>
      <c r="F112" s="6" t="n">
        <v>3</v>
      </c>
      <c r="G112" s="6" t="inlineStr">
        <is>
          <t>Accept</t>
        </is>
      </c>
      <c r="H112" s="6" t="inlineStr">
        <is>
          <t>N. Haddad</t>
        </is>
      </c>
      <c r="I112" s="6" t="inlineStr">
        <is>
          <t>Monitoring</t>
        </is>
      </c>
      <c r="J112" s="9" t="inlineStr">
        <is>
          <t>2027-04-01</t>
        </is>
      </c>
      <c r="K112" s="14">
        <f>E112*F112</f>
        <v/>
      </c>
    </row>
    <row r="113">
      <c r="A113" s="6" t="inlineStr">
        <is>
          <t>RK-0112</t>
        </is>
      </c>
      <c r="B113" s="6" t="inlineStr">
        <is>
          <t>PJ-041</t>
        </is>
      </c>
      <c r="C113" s="6" t="inlineStr">
        <is>
          <t>Business availability for testing below plan</t>
        </is>
      </c>
      <c r="D113" s="6" t="inlineStr">
        <is>
          <t>Resource</t>
        </is>
      </c>
      <c r="E113" s="6" t="n">
        <v>3</v>
      </c>
      <c r="F113" s="6" t="n">
        <v>2</v>
      </c>
      <c r="G113" s="6" t="inlineStr">
        <is>
          <t>Accept</t>
        </is>
      </c>
      <c r="H113" s="6" t="inlineStr">
        <is>
          <t>N. Haddad</t>
        </is>
      </c>
      <c r="I113" s="6" t="inlineStr">
        <is>
          <t>Monitoring</t>
        </is>
      </c>
      <c r="J113" s="9" t="inlineStr">
        <is>
          <t>2027-02-24</t>
        </is>
      </c>
      <c r="K113" s="14">
        <f>E113*F113</f>
        <v/>
      </c>
    </row>
    <row r="114">
      <c r="A114" s="6" t="inlineStr">
        <is>
          <t>RK-0113</t>
        </is>
      </c>
      <c r="B114" s="6" t="inlineStr">
        <is>
          <t>PJ-041</t>
        </is>
      </c>
      <c r="C114" s="6" t="inlineStr">
        <is>
          <t>Source system data access agreement unsigned</t>
        </is>
      </c>
      <c r="D114" s="6" t="inlineStr">
        <is>
          <t>Regulatory</t>
        </is>
      </c>
      <c r="E114" s="6" t="n">
        <v>4</v>
      </c>
      <c r="F114" s="6" t="n">
        <v>2</v>
      </c>
      <c r="G114" s="6" t="inlineStr">
        <is>
          <t>Avoid</t>
        </is>
      </c>
      <c r="H114" s="6" t="inlineStr">
        <is>
          <t>N. Haddad</t>
        </is>
      </c>
      <c r="I114" s="6" t="inlineStr">
        <is>
          <t>Open</t>
        </is>
      </c>
      <c r="J114" s="9" t="inlineStr">
        <is>
          <t>2026-06-24</t>
        </is>
      </c>
      <c r="K114" s="14">
        <f>E114*F114</f>
        <v/>
      </c>
    </row>
    <row r="115">
      <c r="A115" s="6" t="inlineStr">
        <is>
          <t>RK-0114</t>
        </is>
      </c>
      <c r="B115" s="6" t="inlineStr">
        <is>
          <t>PJ-041</t>
        </is>
      </c>
      <c r="C115" s="6" t="inlineStr">
        <is>
          <t>Benefit assumptions untested with end users</t>
        </is>
      </c>
      <c r="D115" s="6" t="inlineStr">
        <is>
          <t>Benefits</t>
        </is>
      </c>
      <c r="E115" s="6" t="n">
        <v>1</v>
      </c>
      <c r="F115" s="6" t="n">
        <v>3</v>
      </c>
      <c r="G115" s="6" t="inlineStr">
        <is>
          <t>Accept</t>
        </is>
      </c>
      <c r="H115" s="6" t="inlineStr">
        <is>
          <t>N. Haddad</t>
        </is>
      </c>
      <c r="I115" s="6" t="inlineStr">
        <is>
          <t>Open</t>
        </is>
      </c>
      <c r="J115" s="9" t="inlineStr">
        <is>
          <t>2027-04-17</t>
        </is>
      </c>
      <c r="K115" s="14">
        <f>E115*F115</f>
        <v/>
      </c>
    </row>
    <row r="116">
      <c r="A116" s="6" t="inlineStr">
        <is>
          <t>RK-0115</t>
        </is>
      </c>
      <c r="B116" s="6" t="inlineStr">
        <is>
          <t>PJ-041</t>
        </is>
      </c>
      <c r="C116" s="6" t="inlineStr">
        <is>
          <t>Operating model for post-go-live support undefined</t>
        </is>
      </c>
      <c r="D116" s="6" t="inlineStr">
        <is>
          <t>Resource</t>
        </is>
      </c>
      <c r="E116" s="6" t="n">
        <v>2</v>
      </c>
      <c r="F116" s="6" t="n">
        <v>3</v>
      </c>
      <c r="G116" s="6" t="inlineStr">
        <is>
          <t>Mitigate</t>
        </is>
      </c>
      <c r="H116" s="6" t="inlineStr">
        <is>
          <t>N. Haddad</t>
        </is>
      </c>
      <c r="I116" s="6" t="inlineStr">
        <is>
          <t>Closed</t>
        </is>
      </c>
      <c r="J116" s="9" t="inlineStr">
        <is>
          <t>2027-05-10</t>
        </is>
      </c>
      <c r="K116" s="14">
        <f>E116*F116</f>
        <v/>
      </c>
    </row>
    <row r="117">
      <c r="A117" s="6" t="inlineStr">
        <is>
          <t>RK-0116</t>
        </is>
      </c>
      <c r="B117" s="6" t="inlineStr">
        <is>
          <t>PJ-042</t>
        </is>
      </c>
      <c r="C117" s="6" t="inlineStr">
        <is>
          <t>Sector regulator approval outstanding</t>
        </is>
      </c>
      <c r="D117" s="6" t="inlineStr">
        <is>
          <t>Regulatory</t>
        </is>
      </c>
      <c r="E117" s="6" t="n">
        <v>5</v>
      </c>
      <c r="F117" s="6" t="n">
        <v>3</v>
      </c>
      <c r="G117" s="6" t="inlineStr">
        <is>
          <t>Accept</t>
        </is>
      </c>
      <c r="H117" s="6" t="inlineStr">
        <is>
          <t>N. Haddad</t>
        </is>
      </c>
      <c r="I117" s="6" t="inlineStr">
        <is>
          <t>Open</t>
        </is>
      </c>
      <c r="J117" s="9" t="inlineStr">
        <is>
          <t>2027-03-31</t>
        </is>
      </c>
      <c r="K117" s="14">
        <f>E117*F117</f>
        <v/>
      </c>
    </row>
    <row r="118">
      <c r="A118" s="6" t="inlineStr">
        <is>
          <t>RK-0117</t>
        </is>
      </c>
      <c r="B118" s="6" t="inlineStr">
        <is>
          <t>PJ-043</t>
        </is>
      </c>
      <c r="C118" s="6" t="inlineStr">
        <is>
          <t>Cybersecurity accreditation not complete before go-live</t>
        </is>
      </c>
      <c r="D118" s="6" t="inlineStr">
        <is>
          <t>Cyber</t>
        </is>
      </c>
      <c r="E118" s="6" t="n">
        <v>2</v>
      </c>
      <c r="F118" s="6" t="n">
        <v>3</v>
      </c>
      <c r="G118" s="6" t="inlineStr">
        <is>
          <t>Mitigate</t>
        </is>
      </c>
      <c r="H118" s="6" t="inlineStr">
        <is>
          <t>N. Haddad</t>
        </is>
      </c>
      <c r="I118" s="6" t="inlineStr">
        <is>
          <t>Open</t>
        </is>
      </c>
      <c r="J118" s="9" t="inlineStr">
        <is>
          <t>2026-11-09</t>
        </is>
      </c>
      <c r="K118" s="14">
        <f>E118*F118</f>
        <v/>
      </c>
    </row>
    <row r="119">
      <c r="A119" s="6" t="inlineStr">
        <is>
          <t>RK-0118</t>
        </is>
      </c>
      <c r="B119" s="6" t="inlineStr">
        <is>
          <t>PJ-043</t>
        </is>
      </c>
      <c r="C119" s="6" t="inlineStr">
        <is>
          <t>Benchmark performance unverified at production scale</t>
        </is>
      </c>
      <c r="D119" s="6" t="inlineStr">
        <is>
          <t>Technical</t>
        </is>
      </c>
      <c r="E119" s="6" t="n">
        <v>2</v>
      </c>
      <c r="F119" s="6" t="n">
        <v>3</v>
      </c>
      <c r="G119" s="6" t="inlineStr">
        <is>
          <t>Avoid</t>
        </is>
      </c>
      <c r="H119" s="6" t="inlineStr">
        <is>
          <t>N. Haddad</t>
        </is>
      </c>
      <c r="I119" s="6" t="inlineStr">
        <is>
          <t>Monitoring</t>
        </is>
      </c>
      <c r="J119" s="9" t="inlineStr">
        <is>
          <t>2026-09-16</t>
        </is>
      </c>
      <c r="K119" s="14">
        <f>E119*F119</f>
        <v/>
      </c>
    </row>
    <row r="120">
      <c r="A120" s="6" t="inlineStr">
        <is>
          <t>RK-0119</t>
        </is>
      </c>
      <c r="B120" s="6" t="inlineStr">
        <is>
          <t>PJ-044</t>
        </is>
      </c>
      <c r="C120" s="6" t="inlineStr">
        <is>
          <t>Benefit assumptions untested with end users</t>
        </is>
      </c>
      <c r="D120" s="6" t="inlineStr">
        <is>
          <t>Benefits</t>
        </is>
      </c>
      <c r="E120" s="6" t="n">
        <v>1</v>
      </c>
      <c r="F120" s="6" t="n">
        <v>5</v>
      </c>
      <c r="G120" s="6" t="inlineStr">
        <is>
          <t>Accept</t>
        </is>
      </c>
      <c r="H120" s="6" t="inlineStr">
        <is>
          <t>N. Haddad</t>
        </is>
      </c>
      <c r="I120" s="6" t="inlineStr">
        <is>
          <t>Monitoring</t>
        </is>
      </c>
      <c r="J120" s="9" t="inlineStr">
        <is>
          <t>2027-03-06</t>
        </is>
      </c>
      <c r="K120" s="14">
        <f>E120*F120</f>
        <v/>
      </c>
    </row>
    <row r="121">
      <c r="A121" s="6" t="inlineStr">
        <is>
          <t>RK-0120</t>
        </is>
      </c>
      <c r="B121" s="6" t="inlineStr">
        <is>
          <t>PJ-044</t>
        </is>
      </c>
      <c r="C121" s="6" t="inlineStr">
        <is>
          <t>Sector regulator approval outstanding</t>
        </is>
      </c>
      <c r="D121" s="6" t="inlineStr">
        <is>
          <t>Regulatory</t>
        </is>
      </c>
      <c r="E121" s="6" t="n">
        <v>3</v>
      </c>
      <c r="F121" s="6" t="n">
        <v>5</v>
      </c>
      <c r="G121" s="6" t="inlineStr">
        <is>
          <t>Transfer</t>
        </is>
      </c>
      <c r="H121" s="6" t="inlineStr">
        <is>
          <t>N. Haddad</t>
        </is>
      </c>
      <c r="I121" s="6" t="inlineStr">
        <is>
          <t>Monitoring</t>
        </is>
      </c>
      <c r="J121" s="9" t="inlineStr">
        <is>
          <t>2026-07-21</t>
        </is>
      </c>
      <c r="K121" s="14">
        <f>E121*F121</f>
        <v/>
      </c>
    </row>
    <row r="122">
      <c r="A122" s="6" t="inlineStr">
        <is>
          <t>RK-0121</t>
        </is>
      </c>
      <c r="B122" s="6" t="inlineStr">
        <is>
          <t>PJ-044</t>
        </is>
      </c>
      <c r="C122" s="6" t="inlineStr">
        <is>
          <t>Integration with legacy case system undocumented</t>
        </is>
      </c>
      <c r="D122" s="6" t="inlineStr">
        <is>
          <t>Technical</t>
        </is>
      </c>
      <c r="E122" s="6" t="n">
        <v>2</v>
      </c>
      <c r="F122" s="6" t="n">
        <v>4</v>
      </c>
      <c r="G122" s="6" t="inlineStr">
        <is>
          <t>Accept</t>
        </is>
      </c>
      <c r="H122" s="6" t="inlineStr">
        <is>
          <t>N. Haddad</t>
        </is>
      </c>
      <c r="I122" s="6" t="inlineStr">
        <is>
          <t>Open</t>
        </is>
      </c>
      <c r="J122" s="9" t="inlineStr">
        <is>
          <t>2026-05-26</t>
        </is>
      </c>
      <c r="K122" s="14">
        <f>E122*F122</f>
        <v/>
      </c>
    </row>
    <row r="123">
      <c r="A123" s="6" t="inlineStr">
        <is>
          <t>RK-0122</t>
        </is>
      </c>
      <c r="B123" s="6" t="inlineStr">
        <is>
          <t>PJ-044</t>
        </is>
      </c>
      <c r="C123" s="6" t="inlineStr">
        <is>
          <t>Business availability for testing below plan</t>
        </is>
      </c>
      <c r="D123" s="6" t="inlineStr">
        <is>
          <t>Resource</t>
        </is>
      </c>
      <c r="E123" s="6" t="n">
        <v>1</v>
      </c>
      <c r="F123" s="6" t="n">
        <v>3</v>
      </c>
      <c r="G123" s="6" t="inlineStr">
        <is>
          <t>Transfer</t>
        </is>
      </c>
      <c r="H123" s="6" t="inlineStr">
        <is>
          <t>N. Haddad</t>
        </is>
      </c>
      <c r="I123" s="6" t="inlineStr">
        <is>
          <t>Monitoring</t>
        </is>
      </c>
      <c r="J123" s="9" t="inlineStr">
        <is>
          <t>2026-05-29</t>
        </is>
      </c>
      <c r="K123" s="14">
        <f>E123*F123</f>
        <v/>
      </c>
    </row>
    <row r="124">
      <c r="A124" s="6" t="inlineStr">
        <is>
          <t>RK-0123</t>
        </is>
      </c>
      <c r="B124" s="6" t="inlineStr">
        <is>
          <t>PJ-045</t>
        </is>
      </c>
      <c r="C124" s="6" t="inlineStr">
        <is>
          <t>Operating model for post-go-live support undefined</t>
        </is>
      </c>
      <c r="D124" s="6" t="inlineStr">
        <is>
          <t>Resource</t>
        </is>
      </c>
      <c r="E124" s="6" t="n">
        <v>2</v>
      </c>
      <c r="F124" s="6" t="n">
        <v>1</v>
      </c>
      <c r="G124" s="6" t="inlineStr">
        <is>
          <t>Accept</t>
        </is>
      </c>
      <c r="H124" s="6" t="inlineStr">
        <is>
          <t>Dr. F. Rossi</t>
        </is>
      </c>
      <c r="I124" s="6" t="inlineStr">
        <is>
          <t>Monitoring</t>
        </is>
      </c>
      <c r="J124" s="9" t="inlineStr">
        <is>
          <t>2026-06-23</t>
        </is>
      </c>
      <c r="K124" s="14">
        <f>E124*F124</f>
        <v/>
      </c>
    </row>
    <row r="125">
      <c r="A125" s="6" t="inlineStr">
        <is>
          <t>RK-0124</t>
        </is>
      </c>
      <c r="B125" s="6" t="inlineStr">
        <is>
          <t>PJ-046</t>
        </is>
      </c>
      <c r="C125" s="6" t="inlineStr">
        <is>
          <t>Cybersecurity accreditation not complete before go-live</t>
        </is>
      </c>
      <c r="D125" s="6" t="inlineStr">
        <is>
          <t>Cyber</t>
        </is>
      </c>
      <c r="E125" s="6" t="n">
        <v>4</v>
      </c>
      <c r="F125" s="6" t="n">
        <v>2</v>
      </c>
      <c r="G125" s="6" t="inlineStr">
        <is>
          <t>Accept</t>
        </is>
      </c>
      <c r="H125" s="6" t="inlineStr">
        <is>
          <t>Dr. F. Rossi</t>
        </is>
      </c>
      <c r="I125" s="6" t="inlineStr">
        <is>
          <t>Open</t>
        </is>
      </c>
      <c r="J125" s="9" t="inlineStr">
        <is>
          <t>2027-02-05</t>
        </is>
      </c>
      <c r="K125" s="14">
        <f>E125*F125</f>
        <v/>
      </c>
    </row>
    <row r="126">
      <c r="A126" s="6" t="inlineStr">
        <is>
          <t>RK-0125</t>
        </is>
      </c>
      <c r="B126" s="6" t="inlineStr">
        <is>
          <t>PJ-046</t>
        </is>
      </c>
      <c r="C126" s="6" t="inlineStr">
        <is>
          <t>Inference cost per token above commercial viability</t>
        </is>
      </c>
      <c r="D126" s="6" t="inlineStr">
        <is>
          <t>Cost</t>
        </is>
      </c>
      <c r="E126" s="6" t="n">
        <v>2</v>
      </c>
      <c r="F126" s="6" t="n">
        <v>1</v>
      </c>
      <c r="G126" s="6" t="inlineStr">
        <is>
          <t>Accept</t>
        </is>
      </c>
      <c r="H126" s="6" t="inlineStr">
        <is>
          <t>Dr. F. Rossi</t>
        </is>
      </c>
      <c r="I126" s="6" t="inlineStr">
        <is>
          <t>Open</t>
        </is>
      </c>
      <c r="J126" s="9" t="inlineStr">
        <is>
          <t>2027-01-05</t>
        </is>
      </c>
      <c r="K126" s="14">
        <f>E126*F126</f>
        <v/>
      </c>
    </row>
    <row r="127">
      <c r="A127" s="6" t="inlineStr">
        <is>
          <t>RK-0126</t>
        </is>
      </c>
      <c r="B127" s="6" t="inlineStr">
        <is>
          <t>PJ-046</t>
        </is>
      </c>
      <c r="C127" s="6" t="inlineStr">
        <is>
          <t>Model evaluation standards not yet defined by regulator</t>
        </is>
      </c>
      <c r="D127" s="6" t="inlineStr">
        <is>
          <t>Regulatory</t>
        </is>
      </c>
      <c r="E127" s="6" t="n">
        <v>3</v>
      </c>
      <c r="F127" s="6" t="n">
        <v>4</v>
      </c>
      <c r="G127" s="6" t="inlineStr">
        <is>
          <t>Mitigate</t>
        </is>
      </c>
      <c r="H127" s="6" t="inlineStr">
        <is>
          <t>Dr. F. Rossi</t>
        </is>
      </c>
      <c r="I127" s="6" t="inlineStr">
        <is>
          <t>Open</t>
        </is>
      </c>
      <c r="J127" s="9" t="inlineStr">
        <is>
          <t>2026-10-09</t>
        </is>
      </c>
      <c r="K127" s="14">
        <f>E127*F127</f>
        <v/>
      </c>
    </row>
    <row r="128">
      <c r="A128" s="6" t="inlineStr">
        <is>
          <t>RK-0127</t>
        </is>
      </c>
      <c r="B128" s="6" t="inlineStr">
        <is>
          <t>PJ-047</t>
        </is>
      </c>
      <c r="C128" s="6" t="inlineStr">
        <is>
          <t>Benefit assumptions untested with end users</t>
        </is>
      </c>
      <c r="D128" s="6" t="inlineStr">
        <is>
          <t>Benefits</t>
        </is>
      </c>
      <c r="E128" s="6" t="n">
        <v>3</v>
      </c>
      <c r="F128" s="6" t="n">
        <v>2</v>
      </c>
      <c r="G128" s="6" t="inlineStr">
        <is>
          <t>Accept</t>
        </is>
      </c>
      <c r="H128" s="6" t="inlineStr">
        <is>
          <t>Dr. F. Rossi</t>
        </is>
      </c>
      <c r="I128" s="6" t="inlineStr">
        <is>
          <t>Open</t>
        </is>
      </c>
      <c r="J128" s="9" t="inlineStr">
        <is>
          <t>2026-11-13</t>
        </is>
      </c>
      <c r="K128" s="14">
        <f>E128*F128</f>
        <v/>
      </c>
    </row>
    <row r="129">
      <c r="A129" s="6" t="inlineStr">
        <is>
          <t>RK-0128</t>
        </is>
      </c>
      <c r="B129" s="6" t="inlineStr">
        <is>
          <t>PJ-048</t>
        </is>
      </c>
      <c r="C129" s="6" t="inlineStr">
        <is>
          <t>Integration with legacy case system undocumented</t>
        </is>
      </c>
      <c r="D129" s="6" t="inlineStr">
        <is>
          <t>Technical</t>
        </is>
      </c>
      <c r="E129" s="6" t="n">
        <v>2</v>
      </c>
      <c r="F129" s="6" t="n">
        <v>1</v>
      </c>
      <c r="G129" s="6" t="inlineStr">
        <is>
          <t>Accept</t>
        </is>
      </c>
      <c r="H129" s="6" t="inlineStr">
        <is>
          <t>Dr. F. Rossi</t>
        </is>
      </c>
      <c r="I129" s="6" t="inlineStr">
        <is>
          <t>Open</t>
        </is>
      </c>
      <c r="J129" s="9" t="inlineStr">
        <is>
          <t>2027-03-25</t>
        </is>
      </c>
      <c r="K129" s="14">
        <f>E129*F129</f>
        <v/>
      </c>
    </row>
    <row r="130">
      <c r="A130" s="6" t="inlineStr">
        <is>
          <t>RK-0129</t>
        </is>
      </c>
      <c r="B130" s="6" t="inlineStr">
        <is>
          <t>PJ-048</t>
        </is>
      </c>
      <c r="C130" s="6" t="inlineStr">
        <is>
          <t>Frontline adoption capacity constrained by change load</t>
        </is>
      </c>
      <c r="D130" s="6" t="inlineStr">
        <is>
          <t>Change Adoption</t>
        </is>
      </c>
      <c r="E130" s="6" t="n">
        <v>3</v>
      </c>
      <c r="F130" s="6" t="n">
        <v>2</v>
      </c>
      <c r="G130" s="6" t="inlineStr">
        <is>
          <t>Mitigate</t>
        </is>
      </c>
      <c r="H130" s="6" t="inlineStr">
        <is>
          <t>Dr. F. Rossi</t>
        </is>
      </c>
      <c r="I130" s="6" t="inlineStr">
        <is>
          <t>Open</t>
        </is>
      </c>
      <c r="J130" s="9" t="inlineStr">
        <is>
          <t>2026-08-28</t>
        </is>
      </c>
      <c r="K130" s="14">
        <f>E130*F130</f>
        <v/>
      </c>
    </row>
    <row r="131">
      <c r="A131" s="6" t="inlineStr">
        <is>
          <t>RK-0130</t>
        </is>
      </c>
      <c r="B131" s="6" t="inlineStr">
        <is>
          <t>PJ-048</t>
        </is>
      </c>
      <c r="C131" s="6" t="inlineStr">
        <is>
          <t>Model bias review may require retraining</t>
        </is>
      </c>
      <c r="D131" s="6" t="inlineStr">
        <is>
          <t>Regulatory</t>
        </is>
      </c>
      <c r="E131" s="6" t="n">
        <v>1</v>
      </c>
      <c r="F131" s="6" t="n">
        <v>2</v>
      </c>
      <c r="G131" s="6" t="inlineStr">
        <is>
          <t>Accept</t>
        </is>
      </c>
      <c r="H131" s="6" t="inlineStr">
        <is>
          <t>Dr. F. Rossi</t>
        </is>
      </c>
      <c r="I131" s="6" t="inlineStr">
        <is>
          <t>Open</t>
        </is>
      </c>
      <c r="J131" s="9" t="inlineStr">
        <is>
          <t>2027-03-03</t>
        </is>
      </c>
      <c r="K131" s="14">
        <f>E131*F131</f>
        <v/>
      </c>
    </row>
    <row r="132">
      <c r="A132" s="6" t="inlineStr">
        <is>
          <t>RK-0131</t>
        </is>
      </c>
      <c r="B132" s="6" t="inlineStr">
        <is>
          <t>PJ-049</t>
        </is>
      </c>
      <c r="C132" s="6" t="inlineStr">
        <is>
          <t>Operating model for post-go-live support undefined</t>
        </is>
      </c>
      <c r="D132" s="6" t="inlineStr">
        <is>
          <t>Resource</t>
        </is>
      </c>
      <c r="E132" s="6" t="n">
        <v>2</v>
      </c>
      <c r="F132" s="6" t="n">
        <v>1</v>
      </c>
      <c r="G132" s="6" t="inlineStr">
        <is>
          <t>Avoid</t>
        </is>
      </c>
      <c r="H132" s="6" t="inlineStr">
        <is>
          <t>Dr. F. Rossi</t>
        </is>
      </c>
      <c r="I132" s="6" t="inlineStr">
        <is>
          <t>Open</t>
        </is>
      </c>
      <c r="J132" s="9" t="inlineStr">
        <is>
          <t>2026-07-16</t>
        </is>
      </c>
      <c r="K132" s="14">
        <f>E132*F132</f>
        <v/>
      </c>
    </row>
    <row r="133">
      <c r="A133" s="6" t="inlineStr">
        <is>
          <t>RK-0132</t>
        </is>
      </c>
      <c r="B133" s="6" t="inlineStr">
        <is>
          <t>PJ-049</t>
        </is>
      </c>
      <c r="C133" s="6" t="inlineStr">
        <is>
          <t>Integration with legacy case system undocumented</t>
        </is>
      </c>
      <c r="D133" s="6" t="inlineStr">
        <is>
          <t>Technical</t>
        </is>
      </c>
      <c r="E133" s="6" t="n">
        <v>3</v>
      </c>
      <c r="F133" s="6" t="n">
        <v>5</v>
      </c>
      <c r="G133" s="6" t="inlineStr">
        <is>
          <t>Mitigate</t>
        </is>
      </c>
      <c r="H133" s="6" t="inlineStr">
        <is>
          <t>Dr. F. Rossi</t>
        </is>
      </c>
      <c r="I133" s="6" t="inlineStr">
        <is>
          <t>Monitoring</t>
        </is>
      </c>
      <c r="J133" s="9" t="inlineStr">
        <is>
          <t>2026-10-28</t>
        </is>
      </c>
      <c r="K133" s="14">
        <f>E133*F133</f>
        <v/>
      </c>
    </row>
    <row r="134">
      <c r="A134" s="6" t="inlineStr">
        <is>
          <t>RK-0133</t>
        </is>
      </c>
      <c r="B134" s="6" t="inlineStr">
        <is>
          <t>PJ-050</t>
        </is>
      </c>
      <c r="C134" s="6" t="inlineStr">
        <is>
          <t>Model bias review may require retraining</t>
        </is>
      </c>
      <c r="D134" s="6" t="inlineStr">
        <is>
          <t>Regulatory</t>
        </is>
      </c>
      <c r="E134" s="6" t="n">
        <v>3</v>
      </c>
      <c r="F134" s="6" t="n">
        <v>4</v>
      </c>
      <c r="G134" s="6" t="inlineStr">
        <is>
          <t>Avoid</t>
        </is>
      </c>
      <c r="H134" s="6" t="inlineStr">
        <is>
          <t>G. Tanaka</t>
        </is>
      </c>
      <c r="I134" s="6" t="inlineStr">
        <is>
          <t>Open</t>
        </is>
      </c>
      <c r="J134" s="9" t="inlineStr">
        <is>
          <t>2027-05-12</t>
        </is>
      </c>
      <c r="K134" s="14">
        <f>E134*F134</f>
        <v/>
      </c>
    </row>
    <row r="135">
      <c r="A135" s="6" t="inlineStr">
        <is>
          <t>RK-0134</t>
        </is>
      </c>
      <c r="B135" s="6" t="inlineStr">
        <is>
          <t>PJ-050</t>
        </is>
      </c>
      <c r="C135" s="6" t="inlineStr">
        <is>
          <t>Business availability for testing below plan</t>
        </is>
      </c>
      <c r="D135" s="6" t="inlineStr">
        <is>
          <t>Resource</t>
        </is>
      </c>
      <c r="E135" s="6" t="n">
        <v>3</v>
      </c>
      <c r="F135" s="6" t="n">
        <v>2</v>
      </c>
      <c r="G135" s="6" t="inlineStr">
        <is>
          <t>Accept</t>
        </is>
      </c>
      <c r="H135" s="6" t="inlineStr">
        <is>
          <t>G. Tanaka</t>
        </is>
      </c>
      <c r="I135" s="6" t="inlineStr">
        <is>
          <t>Monitoring</t>
        </is>
      </c>
      <c r="J135" s="9" t="inlineStr">
        <is>
          <t>2026-07-09</t>
        </is>
      </c>
      <c r="K135" s="14">
        <f>E135*F135</f>
        <v/>
      </c>
    </row>
    <row r="136">
      <c r="A136" s="6" t="inlineStr">
        <is>
          <t>RK-0135</t>
        </is>
      </c>
      <c r="B136" s="6" t="inlineStr">
        <is>
          <t>PJ-050</t>
        </is>
      </c>
      <c r="C136" s="6" t="inlineStr">
        <is>
          <t>Source system data access agreement unsigned</t>
        </is>
      </c>
      <c r="D136" s="6" t="inlineStr">
        <is>
          <t>Regulatory</t>
        </is>
      </c>
      <c r="E136" s="6" t="n">
        <v>3</v>
      </c>
      <c r="F136" s="6" t="n">
        <v>2</v>
      </c>
      <c r="G136" s="6" t="inlineStr">
        <is>
          <t>Transfer</t>
        </is>
      </c>
      <c r="H136" s="6" t="inlineStr">
        <is>
          <t>G. Tanaka</t>
        </is>
      </c>
      <c r="I136" s="6" t="inlineStr">
        <is>
          <t>Open</t>
        </is>
      </c>
      <c r="J136" s="9" t="inlineStr">
        <is>
          <t>2026-10-06</t>
        </is>
      </c>
      <c r="K136" s="14">
        <f>E136*F136</f>
        <v/>
      </c>
    </row>
    <row r="137">
      <c r="A137" s="6" t="inlineStr">
        <is>
          <t>RK-0136</t>
        </is>
      </c>
      <c r="B137" s="6" t="inlineStr">
        <is>
          <t>PJ-050</t>
        </is>
      </c>
      <c r="C137" s="6" t="inlineStr">
        <is>
          <t>Operating model for post-go-live support undefined</t>
        </is>
      </c>
      <c r="D137" s="6" t="inlineStr">
        <is>
          <t>Resource</t>
        </is>
      </c>
      <c r="E137" s="6" t="n">
        <v>4</v>
      </c>
      <c r="F137" s="6" t="n">
        <v>4</v>
      </c>
      <c r="G137" s="6" t="inlineStr">
        <is>
          <t>Accept</t>
        </is>
      </c>
      <c r="H137" s="6" t="inlineStr">
        <is>
          <t>G. Tanaka</t>
        </is>
      </c>
      <c r="I137" s="6" t="inlineStr">
        <is>
          <t>Monitoring</t>
        </is>
      </c>
      <c r="J137" s="9" t="inlineStr">
        <is>
          <t>2027-01-18</t>
        </is>
      </c>
      <c r="K137" s="14">
        <f>E137*F137</f>
        <v/>
      </c>
    </row>
    <row r="138">
      <c r="A138" s="6" t="inlineStr">
        <is>
          <t>RK-0137</t>
        </is>
      </c>
      <c r="B138" s="6" t="inlineStr">
        <is>
          <t>PJ-053</t>
        </is>
      </c>
      <c r="C138" s="6" t="inlineStr">
        <is>
          <t>Business availability for testing below plan</t>
        </is>
      </c>
      <c r="D138" s="6" t="inlineStr">
        <is>
          <t>Resource</t>
        </is>
      </c>
      <c r="E138" s="6" t="n">
        <v>4</v>
      </c>
      <c r="F138" s="6" t="n">
        <v>2</v>
      </c>
      <c r="G138" s="6" t="inlineStr">
        <is>
          <t>Transfer</t>
        </is>
      </c>
      <c r="H138" s="6" t="inlineStr">
        <is>
          <t>G. Tanaka</t>
        </is>
      </c>
      <c r="I138" s="6" t="inlineStr">
        <is>
          <t>Monitoring</t>
        </is>
      </c>
      <c r="J138" s="9" t="inlineStr">
        <is>
          <t>2027-05-27</t>
        </is>
      </c>
      <c r="K138" s="14">
        <f>E138*F138</f>
        <v/>
      </c>
    </row>
    <row r="139">
      <c r="A139" s="6" t="inlineStr">
        <is>
          <t>RK-0138</t>
        </is>
      </c>
      <c r="B139" s="6" t="inlineStr">
        <is>
          <t>PJ-053</t>
        </is>
      </c>
      <c r="C139" s="6" t="inlineStr">
        <is>
          <t>Model bias review may require retraining</t>
        </is>
      </c>
      <c r="D139" s="6" t="inlineStr">
        <is>
          <t>Regulatory</t>
        </is>
      </c>
      <c r="E139" s="6" t="n">
        <v>2</v>
      </c>
      <c r="F139" s="6" t="n">
        <v>4</v>
      </c>
      <c r="G139" s="6" t="inlineStr">
        <is>
          <t>Mitigate</t>
        </is>
      </c>
      <c r="H139" s="6" t="inlineStr">
        <is>
          <t>G. Tanaka</t>
        </is>
      </c>
      <c r="I139" s="6" t="inlineStr">
        <is>
          <t>Closed</t>
        </is>
      </c>
      <c r="J139" s="9" t="inlineStr">
        <is>
          <t>2027-05-05</t>
        </is>
      </c>
      <c r="K139" s="14">
        <f>E139*F139</f>
        <v/>
      </c>
    </row>
    <row r="140">
      <c r="A140" s="6" t="inlineStr">
        <is>
          <t>RK-0139</t>
        </is>
      </c>
      <c r="B140" s="6" t="inlineStr">
        <is>
          <t>PJ-054</t>
        </is>
      </c>
      <c r="C140" s="6" t="inlineStr">
        <is>
          <t>Source system data access agreement unsigned</t>
        </is>
      </c>
      <c r="D140" s="6" t="inlineStr">
        <is>
          <t>Regulatory</t>
        </is>
      </c>
      <c r="E140" s="6" t="n">
        <v>3</v>
      </c>
      <c r="F140" s="6" t="n">
        <v>5</v>
      </c>
      <c r="G140" s="6" t="inlineStr">
        <is>
          <t>Transfer</t>
        </is>
      </c>
      <c r="H140" s="6" t="inlineStr">
        <is>
          <t>G. Tanaka</t>
        </is>
      </c>
      <c r="I140" s="6" t="inlineStr">
        <is>
          <t>Open</t>
        </is>
      </c>
      <c r="J140" s="9" t="inlineStr">
        <is>
          <t>2026-09-16</t>
        </is>
      </c>
      <c r="K140" s="14">
        <f>E140*F140</f>
        <v/>
      </c>
    </row>
    <row r="141">
      <c r="A141" s="6" t="inlineStr">
        <is>
          <t>RK-0140</t>
        </is>
      </c>
      <c r="B141" s="6" t="inlineStr">
        <is>
          <t>PJ-054</t>
        </is>
      </c>
      <c r="C141" s="6" t="inlineStr">
        <is>
          <t>Frontline adoption capacity constrained by change load</t>
        </is>
      </c>
      <c r="D141" s="6" t="inlineStr">
        <is>
          <t>Change Adoption</t>
        </is>
      </c>
      <c r="E141" s="6" t="n">
        <v>2</v>
      </c>
      <c r="F141" s="6" t="n">
        <v>4</v>
      </c>
      <c r="G141" s="6" t="inlineStr">
        <is>
          <t>Avoid</t>
        </is>
      </c>
      <c r="H141" s="6" t="inlineStr">
        <is>
          <t>G. Tanaka</t>
        </is>
      </c>
      <c r="I141" s="6" t="inlineStr">
        <is>
          <t>Monitoring</t>
        </is>
      </c>
      <c r="J141" s="9" t="inlineStr">
        <is>
          <t>2026-08-06</t>
        </is>
      </c>
      <c r="K141" s="14">
        <f>E141*F141</f>
        <v/>
      </c>
    </row>
    <row r="142">
      <c r="A142" s="6" t="inlineStr">
        <is>
          <t>RK-0141</t>
        </is>
      </c>
      <c r="B142" s="6" t="inlineStr">
        <is>
          <t>PJ-056</t>
        </is>
      </c>
      <c r="C142" s="6" t="inlineStr">
        <is>
          <t>Model evaluation standards not yet defined by regulator</t>
        </is>
      </c>
      <c r="D142" s="6" t="inlineStr">
        <is>
          <t>Regulatory</t>
        </is>
      </c>
      <c r="E142" s="6" t="n">
        <v>1</v>
      </c>
      <c r="F142" s="6" t="n">
        <v>2</v>
      </c>
      <c r="G142" s="6" t="inlineStr">
        <is>
          <t>Transfer</t>
        </is>
      </c>
      <c r="H142" s="6" t="inlineStr">
        <is>
          <t>R. Bhatt</t>
        </is>
      </c>
      <c r="I142" s="6" t="inlineStr">
        <is>
          <t>Open</t>
        </is>
      </c>
      <c r="J142" s="9" t="inlineStr">
        <is>
          <t>2027-01-11</t>
        </is>
      </c>
      <c r="K142" s="14">
        <f>E142*F142</f>
        <v/>
      </c>
    </row>
    <row r="143">
      <c r="A143" s="6" t="inlineStr">
        <is>
          <t>RK-0142</t>
        </is>
      </c>
      <c r="B143" s="6" t="inlineStr">
        <is>
          <t>PJ-056</t>
        </is>
      </c>
      <c r="C143" s="6" t="inlineStr">
        <is>
          <t>Training run may not converge within allocated compute budget</t>
        </is>
      </c>
      <c r="D143" s="6" t="inlineStr">
        <is>
          <t>Technical</t>
        </is>
      </c>
      <c r="E143" s="6" t="n">
        <v>3</v>
      </c>
      <c r="F143" s="6" t="n">
        <v>4</v>
      </c>
      <c r="G143" s="6" t="inlineStr">
        <is>
          <t>Accept</t>
        </is>
      </c>
      <c r="H143" s="6" t="inlineStr">
        <is>
          <t>R. Bhatt</t>
        </is>
      </c>
      <c r="I143" s="6" t="inlineStr">
        <is>
          <t>Monitoring</t>
        </is>
      </c>
      <c r="J143" s="9" t="inlineStr">
        <is>
          <t>2027-03-23</t>
        </is>
      </c>
      <c r="K143" s="14">
        <f>E143*F143</f>
        <v/>
      </c>
    </row>
    <row r="144">
      <c r="A144" s="6" t="inlineStr">
        <is>
          <t>RK-0143</t>
        </is>
      </c>
      <c r="B144" s="6" t="inlineStr">
        <is>
          <t>PJ-056</t>
        </is>
      </c>
      <c r="C144" s="6" t="inlineStr">
        <is>
          <t>Cybersecurity accreditation not complete before go-live</t>
        </is>
      </c>
      <c r="D144" s="6" t="inlineStr">
        <is>
          <t>Cyber</t>
        </is>
      </c>
      <c r="E144" s="6" t="n">
        <v>2</v>
      </c>
      <c r="F144" s="6" t="n">
        <v>4</v>
      </c>
      <c r="G144" s="6" t="inlineStr">
        <is>
          <t>Accept</t>
        </is>
      </c>
      <c r="H144" s="6" t="inlineStr">
        <is>
          <t>R. Bhatt</t>
        </is>
      </c>
      <c r="I144" s="6" t="inlineStr">
        <is>
          <t>Open</t>
        </is>
      </c>
      <c r="J144" s="9" t="inlineStr">
        <is>
          <t>2027-04-01</t>
        </is>
      </c>
      <c r="K144" s="14">
        <f>E144*F144</f>
        <v/>
      </c>
    </row>
    <row r="145">
      <c r="A145" s="6" t="inlineStr">
        <is>
          <t>RK-0144</t>
        </is>
      </c>
      <c r="B145" s="6" t="inlineStr">
        <is>
          <t>PJ-056</t>
        </is>
      </c>
      <c r="C145" s="6" t="inlineStr">
        <is>
          <t>Dependency on a single accelerator generation</t>
        </is>
      </c>
      <c r="D145" s="6" t="inlineStr">
        <is>
          <t>Vendor</t>
        </is>
      </c>
      <c r="E145" s="6" t="n">
        <v>3</v>
      </c>
      <c r="F145" s="6" t="n">
        <v>4</v>
      </c>
      <c r="G145" s="6" t="inlineStr">
        <is>
          <t>Accept</t>
        </is>
      </c>
      <c r="H145" s="6" t="inlineStr">
        <is>
          <t>R. Bhatt</t>
        </is>
      </c>
      <c r="I145" s="6" t="inlineStr">
        <is>
          <t>Open</t>
        </is>
      </c>
      <c r="J145" s="9" t="inlineStr">
        <is>
          <t>2026-07-27</t>
        </is>
      </c>
      <c r="K145" s="14">
        <f>E145*F145</f>
        <v/>
      </c>
    </row>
    <row r="146">
      <c r="A146" s="6" t="inlineStr">
        <is>
          <t>RK-0145</t>
        </is>
      </c>
      <c r="B146" s="6" t="inlineStr">
        <is>
          <t>PJ-056</t>
        </is>
      </c>
      <c r="C146" s="6" t="inlineStr">
        <is>
          <t>Inference cost per token above commercial viability</t>
        </is>
      </c>
      <c r="D146" s="6" t="inlineStr">
        <is>
          <t>Cost</t>
        </is>
      </c>
      <c r="E146" s="6" t="n">
        <v>4</v>
      </c>
      <c r="F146" s="6" t="n">
        <v>4</v>
      </c>
      <c r="G146" s="6" t="inlineStr">
        <is>
          <t>Avoid</t>
        </is>
      </c>
      <c r="H146" s="6" t="inlineStr">
        <is>
          <t>R. Bhatt</t>
        </is>
      </c>
      <c r="I146" s="6" t="inlineStr">
        <is>
          <t>Open</t>
        </is>
      </c>
      <c r="J146" s="9" t="inlineStr">
        <is>
          <t>2026-05-26</t>
        </is>
      </c>
      <c r="K146" s="14">
        <f>E146*F146</f>
        <v/>
      </c>
    </row>
    <row r="147">
      <c r="A147" s="6" t="inlineStr">
        <is>
          <t>RK-0146</t>
        </is>
      </c>
      <c r="B147" s="6" t="inlineStr">
        <is>
          <t>PJ-057</t>
        </is>
      </c>
      <c r="C147" s="6" t="inlineStr">
        <is>
          <t>Source system data access agreement unsigned</t>
        </is>
      </c>
      <c r="D147" s="6" t="inlineStr">
        <is>
          <t>Regulatory</t>
        </is>
      </c>
      <c r="E147" s="6" t="n">
        <v>2</v>
      </c>
      <c r="F147" s="6" t="n">
        <v>3</v>
      </c>
      <c r="G147" s="6" t="inlineStr">
        <is>
          <t>Avoid</t>
        </is>
      </c>
      <c r="H147" s="6" t="inlineStr">
        <is>
          <t>R. Bhatt</t>
        </is>
      </c>
      <c r="I147" s="6" t="inlineStr">
        <is>
          <t>Monitoring</t>
        </is>
      </c>
      <c r="J147" s="9" t="inlineStr">
        <is>
          <t>2026-06-28</t>
        </is>
      </c>
      <c r="K147" s="14">
        <f>E147*F147</f>
        <v/>
      </c>
    </row>
    <row r="148">
      <c r="A148" s="6" t="inlineStr">
        <is>
          <t>RK-0147</t>
        </is>
      </c>
      <c r="B148" s="6" t="inlineStr">
        <is>
          <t>PJ-057</t>
        </is>
      </c>
      <c r="C148" s="6" t="inlineStr">
        <is>
          <t>Integration with legacy case system undocumented</t>
        </is>
      </c>
      <c r="D148" s="6" t="inlineStr">
        <is>
          <t>Technical</t>
        </is>
      </c>
      <c r="E148" s="6" t="n">
        <v>4</v>
      </c>
      <c r="F148" s="6" t="n">
        <v>1</v>
      </c>
      <c r="G148" s="6" t="inlineStr">
        <is>
          <t>Mitigate</t>
        </is>
      </c>
      <c r="H148" s="6" t="inlineStr">
        <is>
          <t>R. Bhatt</t>
        </is>
      </c>
      <c r="I148" s="6" t="inlineStr">
        <is>
          <t>Open</t>
        </is>
      </c>
      <c r="J148" s="9" t="inlineStr">
        <is>
          <t>2026-06-05</t>
        </is>
      </c>
      <c r="K148" s="14">
        <f>E148*F148</f>
        <v/>
      </c>
    </row>
    <row r="149">
      <c r="A149" s="6" t="inlineStr">
        <is>
          <t>RK-0148</t>
        </is>
      </c>
      <c r="B149" s="6" t="inlineStr">
        <is>
          <t>PJ-057</t>
        </is>
      </c>
      <c r="C149" s="6" t="inlineStr">
        <is>
          <t>Sector regulator approval outstanding</t>
        </is>
      </c>
      <c r="D149" s="6" t="inlineStr">
        <is>
          <t>Regulatory</t>
        </is>
      </c>
      <c r="E149" s="6" t="n">
        <v>3</v>
      </c>
      <c r="F149" s="6" t="n">
        <v>1</v>
      </c>
      <c r="G149" s="6" t="inlineStr">
        <is>
          <t>Avoid</t>
        </is>
      </c>
      <c r="H149" s="6" t="inlineStr">
        <is>
          <t>R. Bhatt</t>
        </is>
      </c>
      <c r="I149" s="6" t="inlineStr">
        <is>
          <t>Monitoring</t>
        </is>
      </c>
      <c r="J149" s="9" t="inlineStr">
        <is>
          <t>2027-02-25</t>
        </is>
      </c>
      <c r="K149" s="14">
        <f>E149*F149</f>
        <v/>
      </c>
    </row>
    <row r="150">
      <c r="A150" s="6" t="inlineStr">
        <is>
          <t>RK-0149</t>
        </is>
      </c>
      <c r="B150" s="6" t="inlineStr">
        <is>
          <t>PJ-057</t>
        </is>
      </c>
      <c r="C150" s="6" t="inlineStr">
        <is>
          <t>Operating model for post-go-live support undefined</t>
        </is>
      </c>
      <c r="D150" s="6" t="inlineStr">
        <is>
          <t>Resource</t>
        </is>
      </c>
      <c r="E150" s="6" t="n">
        <v>4</v>
      </c>
      <c r="F150" s="6" t="n">
        <v>2</v>
      </c>
      <c r="G150" s="6" t="inlineStr">
        <is>
          <t>Avoid</t>
        </is>
      </c>
      <c r="H150" s="6" t="inlineStr">
        <is>
          <t>R. Bhatt</t>
        </is>
      </c>
      <c r="I150" s="6" t="inlineStr">
        <is>
          <t>Open</t>
        </is>
      </c>
      <c r="J150" s="9" t="inlineStr">
        <is>
          <t>2026-06-08</t>
        </is>
      </c>
      <c r="K150" s="14">
        <f>E150*F150</f>
        <v/>
      </c>
    </row>
    <row r="151">
      <c r="A151" s="6" t="inlineStr">
        <is>
          <t>RK-0150</t>
        </is>
      </c>
      <c r="B151" s="6" t="inlineStr">
        <is>
          <t>PJ-058</t>
        </is>
      </c>
      <c r="C151" s="6" t="inlineStr">
        <is>
          <t>Integration with legacy case system undocumented</t>
        </is>
      </c>
      <c r="D151" s="6" t="inlineStr">
        <is>
          <t>Technical</t>
        </is>
      </c>
      <c r="E151" s="6" t="n">
        <v>3</v>
      </c>
      <c r="F151" s="6" t="n">
        <v>4</v>
      </c>
      <c r="G151" s="6" t="inlineStr">
        <is>
          <t>Accept</t>
        </is>
      </c>
      <c r="H151" s="6" t="inlineStr">
        <is>
          <t>R. Bhatt</t>
        </is>
      </c>
      <c r="I151" s="6" t="inlineStr">
        <is>
          <t>Monitoring</t>
        </is>
      </c>
      <c r="J151" s="9" t="inlineStr">
        <is>
          <t>2026-11-05</t>
        </is>
      </c>
      <c r="K151" s="14">
        <f>E151*F151</f>
        <v/>
      </c>
    </row>
    <row r="152">
      <c r="A152" s="6" t="inlineStr">
        <is>
          <t>RK-0151</t>
        </is>
      </c>
      <c r="B152" s="6" t="inlineStr">
        <is>
          <t>PJ-058</t>
        </is>
      </c>
      <c r="C152" s="6" t="inlineStr">
        <is>
          <t>Business availability for testing below plan</t>
        </is>
      </c>
      <c r="D152" s="6" t="inlineStr">
        <is>
          <t>Resource</t>
        </is>
      </c>
      <c r="E152" s="6" t="n">
        <v>2</v>
      </c>
      <c r="F152" s="6" t="n">
        <v>3</v>
      </c>
      <c r="G152" s="6" t="inlineStr">
        <is>
          <t>Accept</t>
        </is>
      </c>
      <c r="H152" s="6" t="inlineStr">
        <is>
          <t>R. Bhatt</t>
        </is>
      </c>
      <c r="I152" s="6" t="inlineStr">
        <is>
          <t>Open</t>
        </is>
      </c>
      <c r="J152" s="9" t="inlineStr">
        <is>
          <t>2027-05-13</t>
        </is>
      </c>
      <c r="K152" s="14">
        <f>E152*F152</f>
        <v/>
      </c>
    </row>
    <row r="153">
      <c r="A153" s="6" t="inlineStr">
        <is>
          <t>RK-0152</t>
        </is>
      </c>
      <c r="B153" s="6" t="inlineStr">
        <is>
          <t>PJ-058</t>
        </is>
      </c>
      <c r="C153" s="6" t="inlineStr">
        <is>
          <t>Benefit assumptions untested with end users</t>
        </is>
      </c>
      <c r="D153" s="6" t="inlineStr">
        <is>
          <t>Benefits</t>
        </is>
      </c>
      <c r="E153" s="6" t="n">
        <v>5</v>
      </c>
      <c r="F153" s="6" t="n">
        <v>1</v>
      </c>
      <c r="G153" s="6" t="inlineStr">
        <is>
          <t>Avoid</t>
        </is>
      </c>
      <c r="H153" s="6" t="inlineStr">
        <is>
          <t>R. Bhatt</t>
        </is>
      </c>
      <c r="I153" s="6" t="inlineStr">
        <is>
          <t>Closed</t>
        </is>
      </c>
      <c r="J153" s="9" t="inlineStr">
        <is>
          <t>2027-05-07</t>
        </is>
      </c>
      <c r="K153" s="14">
        <f>E153*F153</f>
        <v/>
      </c>
    </row>
    <row r="154">
      <c r="A154" s="6" t="inlineStr">
        <is>
          <t>RK-0153</t>
        </is>
      </c>
      <c r="B154" s="6" t="inlineStr">
        <is>
          <t>PJ-059</t>
        </is>
      </c>
      <c r="C154" s="6" t="inlineStr">
        <is>
          <t>Benefit assumptions untested with end users</t>
        </is>
      </c>
      <c r="D154" s="6" t="inlineStr">
        <is>
          <t>Benefits</t>
        </is>
      </c>
      <c r="E154" s="6" t="n">
        <v>2</v>
      </c>
      <c r="F154" s="6" t="n">
        <v>2</v>
      </c>
      <c r="G154" s="6" t="inlineStr">
        <is>
          <t>Transfer</t>
        </is>
      </c>
      <c r="H154" s="6" t="inlineStr">
        <is>
          <t>R. Bhatt</t>
        </is>
      </c>
      <c r="I154" s="6" t="inlineStr">
        <is>
          <t>Open</t>
        </is>
      </c>
      <c r="J154" s="9" t="inlineStr">
        <is>
          <t>2026-05-25</t>
        </is>
      </c>
      <c r="K154" s="14">
        <f>E154*F154</f>
        <v/>
      </c>
    </row>
    <row r="155">
      <c r="A155" s="6" t="inlineStr">
        <is>
          <t>RK-0154</t>
        </is>
      </c>
      <c r="B155" s="6" t="inlineStr">
        <is>
          <t>PJ-059</t>
        </is>
      </c>
      <c r="C155" s="6" t="inlineStr">
        <is>
          <t>Source system data access agreement unsigned</t>
        </is>
      </c>
      <c r="D155" s="6" t="inlineStr">
        <is>
          <t>Regulatory</t>
        </is>
      </c>
      <c r="E155" s="6" t="n">
        <v>3</v>
      </c>
      <c r="F155" s="6" t="n">
        <v>3</v>
      </c>
      <c r="G155" s="6" t="inlineStr">
        <is>
          <t>Transfer</t>
        </is>
      </c>
      <c r="H155" s="6" t="inlineStr">
        <is>
          <t>R. Bhatt</t>
        </is>
      </c>
      <c r="I155" s="6" t="inlineStr">
        <is>
          <t>Open</t>
        </is>
      </c>
      <c r="J155" s="9" t="inlineStr">
        <is>
          <t>2027-02-07</t>
        </is>
      </c>
      <c r="K155" s="14">
        <f>E155*F155</f>
        <v/>
      </c>
    </row>
    <row r="156">
      <c r="A156" s="6" t="inlineStr">
        <is>
          <t>RK-0155</t>
        </is>
      </c>
      <c r="B156" s="6" t="inlineStr">
        <is>
          <t>PJ-061</t>
        </is>
      </c>
      <c r="C156" s="6" t="inlineStr">
        <is>
          <t>Upstream data quality insufficient for target accuracy</t>
        </is>
      </c>
      <c r="D156" s="6" t="inlineStr">
        <is>
          <t>Technical</t>
        </is>
      </c>
      <c r="E156" s="6" t="n">
        <v>2</v>
      </c>
      <c r="F156" s="6" t="n">
        <v>3</v>
      </c>
      <c r="G156" s="6" t="inlineStr">
        <is>
          <t>Avoid</t>
        </is>
      </c>
      <c r="H156" s="6" t="inlineStr">
        <is>
          <t>L. Moreau</t>
        </is>
      </c>
      <c r="I156" s="6" t="inlineStr">
        <is>
          <t>Open</t>
        </is>
      </c>
      <c r="J156" s="9" t="inlineStr">
        <is>
          <t>2026-07-26</t>
        </is>
      </c>
      <c r="K156" s="14">
        <f>E156*F156</f>
        <v/>
      </c>
    </row>
    <row r="157">
      <c r="A157" s="6" t="inlineStr">
        <is>
          <t>RK-0156</t>
        </is>
      </c>
      <c r="B157" s="6" t="inlineStr">
        <is>
          <t>PJ-061</t>
        </is>
      </c>
      <c r="C157" s="6" t="inlineStr">
        <is>
          <t>Inference cost per token above commercial viability</t>
        </is>
      </c>
      <c r="D157" s="6" t="inlineStr">
        <is>
          <t>Cost</t>
        </is>
      </c>
      <c r="E157" s="6" t="n">
        <v>3</v>
      </c>
      <c r="F157" s="6" t="n">
        <v>3</v>
      </c>
      <c r="G157" s="6" t="inlineStr">
        <is>
          <t>Transfer</t>
        </is>
      </c>
      <c r="H157" s="6" t="inlineStr">
        <is>
          <t>L. Moreau</t>
        </is>
      </c>
      <c r="I157" s="6" t="inlineStr">
        <is>
          <t>Open</t>
        </is>
      </c>
      <c r="J157" s="9" t="inlineStr">
        <is>
          <t>2026-12-27</t>
        </is>
      </c>
      <c r="K157" s="14">
        <f>E157*F157</f>
        <v/>
      </c>
    </row>
    <row r="158">
      <c r="A158" s="6" t="inlineStr">
        <is>
          <t>RK-0157</t>
        </is>
      </c>
      <c r="B158" s="6" t="inlineStr">
        <is>
          <t>PJ-061</t>
        </is>
      </c>
      <c r="C158" s="6" t="inlineStr">
        <is>
          <t>Model evaluation standards not yet defined by regulator</t>
        </is>
      </c>
      <c r="D158" s="6" t="inlineStr">
        <is>
          <t>Regulatory</t>
        </is>
      </c>
      <c r="E158" s="6" t="n">
        <v>3</v>
      </c>
      <c r="F158" s="6" t="n">
        <v>2</v>
      </c>
      <c r="G158" s="6" t="inlineStr">
        <is>
          <t>Avoid</t>
        </is>
      </c>
      <c r="H158" s="6" t="inlineStr">
        <is>
          <t>L. Moreau</t>
        </is>
      </c>
      <c r="I158" s="6" t="inlineStr">
        <is>
          <t>Monitoring</t>
        </is>
      </c>
      <c r="J158" s="9" t="inlineStr">
        <is>
          <t>2026-09-07</t>
        </is>
      </c>
      <c r="K158" s="14">
        <f>E158*F158</f>
        <v/>
      </c>
    </row>
    <row r="159">
      <c r="A159" s="6" t="inlineStr">
        <is>
          <t>RK-0158</t>
        </is>
      </c>
      <c r="B159" s="6" t="inlineStr">
        <is>
          <t>PJ-061</t>
        </is>
      </c>
      <c r="C159" s="6" t="inlineStr">
        <is>
          <t>Cybersecurity accreditation not complete before go-live</t>
        </is>
      </c>
      <c r="D159" s="6" t="inlineStr">
        <is>
          <t>Cyber</t>
        </is>
      </c>
      <c r="E159" s="6" t="n">
        <v>2</v>
      </c>
      <c r="F159" s="6" t="n">
        <v>3</v>
      </c>
      <c r="G159" s="6" t="inlineStr">
        <is>
          <t>Accept</t>
        </is>
      </c>
      <c r="H159" s="6" t="inlineStr">
        <is>
          <t>L. Moreau</t>
        </is>
      </c>
      <c r="I159" s="6" t="inlineStr">
        <is>
          <t>Closed</t>
        </is>
      </c>
      <c r="J159" s="9" t="inlineStr">
        <is>
          <t>2027-03-21</t>
        </is>
      </c>
      <c r="K159" s="14">
        <f>E159*F159</f>
        <v/>
      </c>
    </row>
    <row r="160">
      <c r="A160" s="6" t="inlineStr">
        <is>
          <t>RK-0159</t>
        </is>
      </c>
      <c r="B160" s="6" t="inlineStr">
        <is>
          <t>PJ-062</t>
        </is>
      </c>
      <c r="C160" s="6" t="inlineStr">
        <is>
          <t>Integration with legacy case system undocumented</t>
        </is>
      </c>
      <c r="D160" s="6" t="inlineStr">
        <is>
          <t>Technical</t>
        </is>
      </c>
      <c r="E160" s="6" t="n">
        <v>4</v>
      </c>
      <c r="F160" s="6" t="n">
        <v>3</v>
      </c>
      <c r="G160" s="6" t="inlineStr">
        <is>
          <t>Accept</t>
        </is>
      </c>
      <c r="H160" s="6" t="inlineStr">
        <is>
          <t>L. Moreau</t>
        </is>
      </c>
      <c r="I160" s="6" t="inlineStr">
        <is>
          <t>Open</t>
        </is>
      </c>
      <c r="J160" s="9" t="inlineStr">
        <is>
          <t>2026-08-11</t>
        </is>
      </c>
      <c r="K160" s="14">
        <f>E160*F160</f>
        <v/>
      </c>
    </row>
    <row r="161">
      <c r="A161" s="6" t="inlineStr">
        <is>
          <t>RK-0160</t>
        </is>
      </c>
      <c r="B161" s="6" t="inlineStr">
        <is>
          <t>PJ-062</t>
        </is>
      </c>
      <c r="C161" s="6" t="inlineStr">
        <is>
          <t>Frontline adoption capacity constrained by change load</t>
        </is>
      </c>
      <c r="D161" s="6" t="inlineStr">
        <is>
          <t>Change Adoption</t>
        </is>
      </c>
      <c r="E161" s="6" t="n">
        <v>3</v>
      </c>
      <c r="F161" s="6" t="n">
        <v>2</v>
      </c>
      <c r="G161" s="6" t="inlineStr">
        <is>
          <t>Avoid</t>
        </is>
      </c>
      <c r="H161" s="6" t="inlineStr">
        <is>
          <t>L. Moreau</t>
        </is>
      </c>
      <c r="I161" s="6" t="inlineStr">
        <is>
          <t>Open</t>
        </is>
      </c>
      <c r="J161" s="9" t="inlineStr">
        <is>
          <t>2026-09-02</t>
        </is>
      </c>
      <c r="K161" s="14">
        <f>E161*F161</f>
        <v/>
      </c>
    </row>
    <row r="162">
      <c r="A162" s="6" t="inlineStr">
        <is>
          <t>RK-0161</t>
        </is>
      </c>
      <c r="B162" s="6" t="inlineStr">
        <is>
          <t>PJ-062</t>
        </is>
      </c>
      <c r="C162" s="6" t="inlineStr">
        <is>
          <t>Sector regulator approval outstanding</t>
        </is>
      </c>
      <c r="D162" s="6" t="inlineStr">
        <is>
          <t>Regulatory</t>
        </is>
      </c>
      <c r="E162" s="6" t="n">
        <v>1</v>
      </c>
      <c r="F162" s="6" t="n">
        <v>1</v>
      </c>
      <c r="G162" s="6" t="inlineStr">
        <is>
          <t>Transfer</t>
        </is>
      </c>
      <c r="H162" s="6" t="inlineStr">
        <is>
          <t>L. Moreau</t>
        </is>
      </c>
      <c r="I162" s="6" t="inlineStr">
        <is>
          <t>Open</t>
        </is>
      </c>
      <c r="J162" s="9" t="inlineStr">
        <is>
          <t>2027-05-25</t>
        </is>
      </c>
      <c r="K162" s="14">
        <f>E162*F162</f>
        <v/>
      </c>
    </row>
    <row r="163">
      <c r="A163" s="6" t="inlineStr">
        <is>
          <t>RK-0162</t>
        </is>
      </c>
      <c r="B163" s="6" t="inlineStr">
        <is>
          <t>PJ-063</t>
        </is>
      </c>
      <c r="C163" s="6" t="inlineStr">
        <is>
          <t>Integration with legacy case system undocumented</t>
        </is>
      </c>
      <c r="D163" s="6" t="inlineStr">
        <is>
          <t>Technical</t>
        </is>
      </c>
      <c r="E163" s="6" t="n">
        <v>2</v>
      </c>
      <c r="F163" s="6" t="n">
        <v>4</v>
      </c>
      <c r="G163" s="6" t="inlineStr">
        <is>
          <t>Transfer</t>
        </is>
      </c>
      <c r="H163" s="6" t="inlineStr">
        <is>
          <t>L. Moreau</t>
        </is>
      </c>
      <c r="I163" s="6" t="inlineStr">
        <is>
          <t>Closed</t>
        </is>
      </c>
      <c r="J163" s="9" t="inlineStr">
        <is>
          <t>2027-05-17</t>
        </is>
      </c>
      <c r="K163" s="14">
        <f>E163*F163</f>
        <v/>
      </c>
    </row>
    <row r="164">
      <c r="A164" s="6" t="inlineStr">
        <is>
          <t>RK-0163</t>
        </is>
      </c>
      <c r="B164" s="6" t="inlineStr">
        <is>
          <t>PJ-063</t>
        </is>
      </c>
      <c r="C164" s="6" t="inlineStr">
        <is>
          <t>Sector regulator approval outstanding</t>
        </is>
      </c>
      <c r="D164" s="6" t="inlineStr">
        <is>
          <t>Regulatory</t>
        </is>
      </c>
      <c r="E164" s="6" t="n">
        <v>2</v>
      </c>
      <c r="F164" s="6" t="n">
        <v>3</v>
      </c>
      <c r="G164" s="6" t="inlineStr">
        <is>
          <t>Accept</t>
        </is>
      </c>
      <c r="H164" s="6" t="inlineStr">
        <is>
          <t>L. Moreau</t>
        </is>
      </c>
      <c r="I164" s="6" t="inlineStr">
        <is>
          <t>Open</t>
        </is>
      </c>
      <c r="J164" s="9" t="inlineStr">
        <is>
          <t>2027-04-28</t>
        </is>
      </c>
      <c r="K164" s="14">
        <f>E164*F164</f>
        <v/>
      </c>
    </row>
    <row r="165">
      <c r="A165" s="6" t="inlineStr">
        <is>
          <t>RK-0164</t>
        </is>
      </c>
      <c r="B165" s="6" t="inlineStr">
        <is>
          <t>PJ-063</t>
        </is>
      </c>
      <c r="C165" s="6" t="inlineStr">
        <is>
          <t>Business availability for testing below plan</t>
        </is>
      </c>
      <c r="D165" s="6" t="inlineStr">
        <is>
          <t>Resource</t>
        </is>
      </c>
      <c r="E165" s="6" t="n">
        <v>2</v>
      </c>
      <c r="F165" s="6" t="n">
        <v>2</v>
      </c>
      <c r="G165" s="6" t="inlineStr">
        <is>
          <t>Transfer</t>
        </is>
      </c>
      <c r="H165" s="6" t="inlineStr">
        <is>
          <t>L. Moreau</t>
        </is>
      </c>
      <c r="I165" s="6" t="inlineStr">
        <is>
          <t>Closed</t>
        </is>
      </c>
      <c r="J165" s="9" t="inlineStr">
        <is>
          <t>2026-12-22</t>
        </is>
      </c>
      <c r="K165" s="14">
        <f>E165*F165</f>
        <v/>
      </c>
    </row>
    <row r="166">
      <c r="A166" s="6" t="inlineStr">
        <is>
          <t>RK-0165</t>
        </is>
      </c>
      <c r="B166" s="6" t="inlineStr">
        <is>
          <t>PJ-064</t>
        </is>
      </c>
      <c r="C166" s="6" t="inlineStr">
        <is>
          <t>Model evaluation standards not yet defined by regulator</t>
        </is>
      </c>
      <c r="D166" s="6" t="inlineStr">
        <is>
          <t>Regulatory</t>
        </is>
      </c>
      <c r="E166" s="6" t="n">
        <v>2</v>
      </c>
      <c r="F166" s="6" t="n">
        <v>3</v>
      </c>
      <c r="G166" s="6" t="inlineStr">
        <is>
          <t>Mitigate</t>
        </is>
      </c>
      <c r="H166" s="6" t="inlineStr">
        <is>
          <t>I. Fernandes</t>
        </is>
      </c>
      <c r="I166" s="6" t="inlineStr">
        <is>
          <t>Open</t>
        </is>
      </c>
      <c r="J166" s="9" t="inlineStr">
        <is>
          <t>2026-07-24</t>
        </is>
      </c>
      <c r="K166" s="14">
        <f>E166*F166</f>
        <v/>
      </c>
    </row>
    <row r="167">
      <c r="A167" s="6" t="inlineStr">
        <is>
          <t>RK-0166</t>
        </is>
      </c>
      <c r="B167" s="6" t="inlineStr">
        <is>
          <t>PJ-064</t>
        </is>
      </c>
      <c r="C167" s="6" t="inlineStr">
        <is>
          <t>Upstream data quality insufficient for target accuracy</t>
        </is>
      </c>
      <c r="D167" s="6" t="inlineStr">
        <is>
          <t>Technical</t>
        </is>
      </c>
      <c r="E167" s="6" t="n">
        <v>3</v>
      </c>
      <c r="F167" s="6" t="n">
        <v>2</v>
      </c>
      <c r="G167" s="6" t="inlineStr">
        <is>
          <t>Avoid</t>
        </is>
      </c>
      <c r="H167" s="6" t="inlineStr">
        <is>
          <t>I. Fernandes</t>
        </is>
      </c>
      <c r="I167" s="6" t="inlineStr">
        <is>
          <t>Open</t>
        </is>
      </c>
      <c r="J167" s="9" t="inlineStr">
        <is>
          <t>2026-11-05</t>
        </is>
      </c>
      <c r="K167" s="14">
        <f>E167*F167</f>
        <v/>
      </c>
    </row>
    <row r="168">
      <c r="A168" s="6" t="inlineStr">
        <is>
          <t>RK-0167</t>
        </is>
      </c>
      <c r="B168" s="6" t="inlineStr">
        <is>
          <t>PJ-064</t>
        </is>
      </c>
      <c r="C168" s="6" t="inlineStr">
        <is>
          <t>Cybersecurity accreditation not complete before go-live</t>
        </is>
      </c>
      <c r="D168" s="6" t="inlineStr">
        <is>
          <t>Cyber</t>
        </is>
      </c>
      <c r="E168" s="6" t="n">
        <v>1</v>
      </c>
      <c r="F168" s="6" t="n">
        <v>3</v>
      </c>
      <c r="G168" s="6" t="inlineStr">
        <is>
          <t>Avoid</t>
        </is>
      </c>
      <c r="H168" s="6" t="inlineStr">
        <is>
          <t>I. Fernandes</t>
        </is>
      </c>
      <c r="I168" s="6" t="inlineStr">
        <is>
          <t>Monitoring</t>
        </is>
      </c>
      <c r="J168" s="9" t="inlineStr">
        <is>
          <t>2027-04-27</t>
        </is>
      </c>
      <c r="K168" s="14">
        <f>E168*F168</f>
        <v/>
      </c>
    </row>
    <row r="169">
      <c r="A169" s="6" t="inlineStr">
        <is>
          <t>RK-0168</t>
        </is>
      </c>
      <c r="B169" s="6" t="inlineStr">
        <is>
          <t>PJ-064</t>
        </is>
      </c>
      <c r="C169" s="6" t="inlineStr">
        <is>
          <t>Scarce ML platform talent attrition to private sector</t>
        </is>
      </c>
      <c r="D169" s="6" t="inlineStr">
        <is>
          <t>Talent</t>
        </is>
      </c>
      <c r="E169" s="6" t="n">
        <v>3</v>
      </c>
      <c r="F169" s="6" t="n">
        <v>4</v>
      </c>
      <c r="G169" s="6" t="inlineStr">
        <is>
          <t>Transfer</t>
        </is>
      </c>
      <c r="H169" s="6" t="inlineStr">
        <is>
          <t>I. Fernandes</t>
        </is>
      </c>
      <c r="I169" s="6" t="inlineStr">
        <is>
          <t>Open</t>
        </is>
      </c>
      <c r="J169" s="9" t="inlineStr">
        <is>
          <t>2026-07-14</t>
        </is>
      </c>
      <c r="K169" s="14">
        <f>E169*F169</f>
        <v/>
      </c>
    </row>
    <row r="170">
      <c r="A170" s="6" t="inlineStr">
        <is>
          <t>RK-0169</t>
        </is>
      </c>
      <c r="B170" s="6" t="inlineStr">
        <is>
          <t>PJ-065</t>
        </is>
      </c>
      <c r="C170" s="6" t="inlineStr">
        <is>
          <t>Grid connection date slips beyond facility readiness</t>
        </is>
      </c>
      <c r="D170" s="6" t="inlineStr">
        <is>
          <t>Energy &amp; Grid</t>
        </is>
      </c>
      <c r="E170" s="6" t="n">
        <v>2</v>
      </c>
      <c r="F170" s="6" t="n">
        <v>3</v>
      </c>
      <c r="G170" s="6" t="inlineStr">
        <is>
          <t>Accept</t>
        </is>
      </c>
      <c r="H170" s="6" t="inlineStr">
        <is>
          <t>I. Fernandes</t>
        </is>
      </c>
      <c r="I170" s="6" t="inlineStr">
        <is>
          <t>Closed</t>
        </is>
      </c>
      <c r="J170" s="9" t="inlineStr">
        <is>
          <t>2026-08-08</t>
        </is>
      </c>
      <c r="K170" s="14">
        <f>E170*F170</f>
        <v/>
      </c>
    </row>
    <row r="171">
      <c r="A171" s="6" t="inlineStr">
        <is>
          <t>RK-0170</t>
        </is>
      </c>
      <c r="B171" s="6" t="inlineStr">
        <is>
          <t>PJ-065</t>
        </is>
      </c>
      <c r="C171" s="6" t="inlineStr">
        <is>
          <t>Construction labour availability in peak season</t>
        </is>
      </c>
      <c r="D171" s="6" t="inlineStr">
        <is>
          <t>Resource</t>
        </is>
      </c>
      <c r="E171" s="6" t="n">
        <v>2</v>
      </c>
      <c r="F171" s="6" t="n">
        <v>1</v>
      </c>
      <c r="G171" s="6" t="inlineStr">
        <is>
          <t>Transfer</t>
        </is>
      </c>
      <c r="H171" s="6" t="inlineStr">
        <is>
          <t>I. Fernandes</t>
        </is>
      </c>
      <c r="I171" s="6" t="inlineStr">
        <is>
          <t>Closed</t>
        </is>
      </c>
      <c r="J171" s="9" t="inlineStr">
        <is>
          <t>2026-08-06</t>
        </is>
      </c>
      <c r="K171" s="14">
        <f>E171*F171</f>
        <v/>
      </c>
    </row>
    <row r="172">
      <c r="A172" s="6" t="inlineStr">
        <is>
          <t>RK-0171</t>
        </is>
      </c>
      <c r="B172" s="6" t="inlineStr">
        <is>
          <t>PJ-065</t>
        </is>
      </c>
      <c r="C172" s="6" t="inlineStr">
        <is>
          <t>Water availability constraint at campus site</t>
        </is>
      </c>
      <c r="D172" s="6" t="inlineStr">
        <is>
          <t>Environmental</t>
        </is>
      </c>
      <c r="E172" s="6" t="n">
        <v>2</v>
      </c>
      <c r="F172" s="6" t="n">
        <v>5</v>
      </c>
      <c r="G172" s="6" t="inlineStr">
        <is>
          <t>Accept</t>
        </is>
      </c>
      <c r="H172" s="6" t="inlineStr">
        <is>
          <t>I. Fernandes</t>
        </is>
      </c>
      <c r="I172" s="6" t="inlineStr">
        <is>
          <t>Open</t>
        </is>
      </c>
      <c r="J172" s="9" t="inlineStr">
        <is>
          <t>2027-01-23</t>
        </is>
      </c>
      <c r="K172" s="14">
        <f>E172*F172</f>
        <v/>
      </c>
    </row>
    <row r="173">
      <c r="A173" s="6" t="inlineStr">
        <is>
          <t>RK-0172</t>
        </is>
      </c>
      <c r="B173" s="6" t="inlineStr">
        <is>
          <t>PJ-065</t>
        </is>
      </c>
      <c r="C173" s="6" t="inlineStr">
        <is>
          <t>Land handover contingent on unresolved zoning approval</t>
        </is>
      </c>
      <c r="D173" s="6" t="inlineStr">
        <is>
          <t>Regulatory</t>
        </is>
      </c>
      <c r="E173" s="6" t="n">
        <v>2</v>
      </c>
      <c r="F173" s="6" t="n">
        <v>4</v>
      </c>
      <c r="G173" s="6" t="inlineStr">
        <is>
          <t>Transfer</t>
        </is>
      </c>
      <c r="H173" s="6" t="inlineStr">
        <is>
          <t>I. Fernandes</t>
        </is>
      </c>
      <c r="I173" s="6" t="inlineStr">
        <is>
          <t>Monitoring</t>
        </is>
      </c>
      <c r="J173" s="9" t="inlineStr">
        <is>
          <t>2026-10-24</t>
        </is>
      </c>
      <c r="K173" s="14">
        <f>E173*F173</f>
        <v/>
      </c>
    </row>
    <row r="174">
      <c r="A174" s="6" t="inlineStr">
        <is>
          <t>RK-0173</t>
        </is>
      </c>
      <c r="B174" s="6" t="inlineStr">
        <is>
          <t>PJ-066</t>
        </is>
      </c>
      <c r="C174" s="6" t="inlineStr">
        <is>
          <t>Benchmark performance unverified at production scale</t>
        </is>
      </c>
      <c r="D174" s="6" t="inlineStr">
        <is>
          <t>Technical</t>
        </is>
      </c>
      <c r="E174" s="6" t="n">
        <v>1</v>
      </c>
      <c r="F174" s="6" t="n">
        <v>3</v>
      </c>
      <c r="G174" s="6" t="inlineStr">
        <is>
          <t>Accept</t>
        </is>
      </c>
      <c r="H174" s="6" t="inlineStr">
        <is>
          <t>I. Fernandes</t>
        </is>
      </c>
      <c r="I174" s="6" t="inlineStr">
        <is>
          <t>Monitoring</t>
        </is>
      </c>
      <c r="J174" s="9" t="inlineStr">
        <is>
          <t>2027-01-07</t>
        </is>
      </c>
      <c r="K174" s="14">
        <f>E174*F174</f>
        <v/>
      </c>
    </row>
    <row r="175">
      <c r="A175" s="6" t="inlineStr">
        <is>
          <t>RK-0174</t>
        </is>
      </c>
      <c r="B175" s="6" t="inlineStr">
        <is>
          <t>PJ-066</t>
        </is>
      </c>
      <c r="C175" s="6" t="inlineStr">
        <is>
          <t>Model evaluation standards not yet defined by regulator</t>
        </is>
      </c>
      <c r="D175" s="6" t="inlineStr">
        <is>
          <t>Regulatory</t>
        </is>
      </c>
      <c r="E175" s="6" t="n">
        <v>5</v>
      </c>
      <c r="F175" s="6" t="n">
        <v>3</v>
      </c>
      <c r="G175" s="6" t="inlineStr">
        <is>
          <t>Transfer</t>
        </is>
      </c>
      <c r="H175" s="6" t="inlineStr">
        <is>
          <t>I. Fernandes</t>
        </is>
      </c>
      <c r="I175" s="6" t="inlineStr">
        <is>
          <t>Monitoring</t>
        </is>
      </c>
      <c r="J175" s="9" t="inlineStr">
        <is>
          <t>2027-05-02</t>
        </is>
      </c>
      <c r="K175" s="14">
        <f>E175*F175</f>
        <v/>
      </c>
    </row>
    <row r="176">
      <c r="A176" s="6" t="inlineStr">
        <is>
          <t>RK-0175</t>
        </is>
      </c>
      <c r="B176" s="6" t="inlineStr">
        <is>
          <t>PJ-066</t>
        </is>
      </c>
      <c r="C176" s="6" t="inlineStr">
        <is>
          <t>Training run may not converge within allocated compute budget</t>
        </is>
      </c>
      <c r="D176" s="6" t="inlineStr">
        <is>
          <t>Technical</t>
        </is>
      </c>
      <c r="E176" s="6" t="n">
        <v>3</v>
      </c>
      <c r="F176" s="6" t="n">
        <v>2</v>
      </c>
      <c r="G176" s="6" t="inlineStr">
        <is>
          <t>Accept</t>
        </is>
      </c>
      <c r="H176" s="6" t="inlineStr">
        <is>
          <t>I. Fernandes</t>
        </is>
      </c>
      <c r="I176" s="6" t="inlineStr">
        <is>
          <t>Closed</t>
        </is>
      </c>
      <c r="J176" s="9" t="inlineStr">
        <is>
          <t>2027-01-06</t>
        </is>
      </c>
      <c r="K176" s="14">
        <f>E176*F176</f>
        <v/>
      </c>
    </row>
    <row r="177">
      <c r="A177" s="6" t="inlineStr">
        <is>
          <t>RK-0176</t>
        </is>
      </c>
      <c r="B177" s="6" t="inlineStr">
        <is>
          <t>PJ-067</t>
        </is>
      </c>
      <c r="C177" s="6" t="inlineStr">
        <is>
          <t>Frontline adoption capacity constrained by change load</t>
        </is>
      </c>
      <c r="D177" s="6" t="inlineStr">
        <is>
          <t>Change Adoption</t>
        </is>
      </c>
      <c r="E177" s="6" t="n">
        <v>2</v>
      </c>
      <c r="F177" s="6" t="n">
        <v>3</v>
      </c>
      <c r="G177" s="6" t="inlineStr">
        <is>
          <t>Mitigate</t>
        </is>
      </c>
      <c r="H177" s="6" t="inlineStr">
        <is>
          <t>I. Fernandes</t>
        </is>
      </c>
      <c r="I177" s="6" t="inlineStr">
        <is>
          <t>Open</t>
        </is>
      </c>
      <c r="J177" s="9" t="inlineStr">
        <is>
          <t>2027-05-30</t>
        </is>
      </c>
      <c r="K177" s="14">
        <f>E177*F177</f>
        <v/>
      </c>
    </row>
    <row r="178">
      <c r="A178" s="6" t="inlineStr">
        <is>
          <t>RK-0177</t>
        </is>
      </c>
      <c r="B178" s="6" t="inlineStr">
        <is>
          <t>PJ-067</t>
        </is>
      </c>
      <c r="C178" s="6" t="inlineStr">
        <is>
          <t>Model bias review may require retraining</t>
        </is>
      </c>
      <c r="D178" s="6" t="inlineStr">
        <is>
          <t>Regulatory</t>
        </is>
      </c>
      <c r="E178" s="6" t="n">
        <v>3</v>
      </c>
      <c r="F178" s="6" t="n">
        <v>3</v>
      </c>
      <c r="G178" s="6" t="inlineStr">
        <is>
          <t>Transfer</t>
        </is>
      </c>
      <c r="H178" s="6" t="inlineStr">
        <is>
          <t>I. Fernandes</t>
        </is>
      </c>
      <c r="I178" s="6" t="inlineStr">
        <is>
          <t>Open</t>
        </is>
      </c>
      <c r="J178" s="9" t="inlineStr">
        <is>
          <t>2026-08-20</t>
        </is>
      </c>
      <c r="K178" s="14">
        <f>E178*F178</f>
        <v/>
      </c>
    </row>
    <row r="179">
      <c r="A179" s="6" t="inlineStr">
        <is>
          <t>RK-0178</t>
        </is>
      </c>
      <c r="B179" s="6" t="inlineStr">
        <is>
          <t>PJ-067</t>
        </is>
      </c>
      <c r="C179" s="6" t="inlineStr">
        <is>
          <t>Source system data access agreement unsigned</t>
        </is>
      </c>
      <c r="D179" s="6" t="inlineStr">
        <is>
          <t>Regulatory</t>
        </is>
      </c>
      <c r="E179" s="6" t="n">
        <v>2</v>
      </c>
      <c r="F179" s="6" t="n">
        <v>1</v>
      </c>
      <c r="G179" s="6" t="inlineStr">
        <is>
          <t>Transfer</t>
        </is>
      </c>
      <c r="H179" s="6" t="inlineStr">
        <is>
          <t>I. Fernandes</t>
        </is>
      </c>
      <c r="I179" s="6" t="inlineStr">
        <is>
          <t>Closed</t>
        </is>
      </c>
      <c r="J179" s="9" t="inlineStr">
        <is>
          <t>2026-12-30</t>
        </is>
      </c>
      <c r="K179" s="14">
        <f>E179*F179</f>
        <v/>
      </c>
    </row>
    <row r="180">
      <c r="A180" s="6" t="inlineStr">
        <is>
          <t>RK-0179</t>
        </is>
      </c>
      <c r="B180" s="6" t="inlineStr">
        <is>
          <t>PJ-068</t>
        </is>
      </c>
      <c r="C180" s="6" t="inlineStr">
        <is>
          <t>Cooling plant single-sourced with no qualified alternate</t>
        </is>
      </c>
      <c r="D180" s="6" t="inlineStr">
        <is>
          <t>Supply Chain</t>
        </is>
      </c>
      <c r="E180" s="6" t="n">
        <v>3</v>
      </c>
      <c r="F180" s="6" t="n">
        <v>3</v>
      </c>
      <c r="G180" s="6" t="inlineStr">
        <is>
          <t>Accept</t>
        </is>
      </c>
      <c r="H180" s="6" t="inlineStr">
        <is>
          <t>M. Osei</t>
        </is>
      </c>
      <c r="I180" s="6" t="inlineStr">
        <is>
          <t>Open</t>
        </is>
      </c>
      <c r="J180" s="9" t="inlineStr">
        <is>
          <t>2026-07-08</t>
        </is>
      </c>
      <c r="K180" s="14">
        <f>E180*F180</f>
        <v/>
      </c>
    </row>
    <row r="181">
      <c r="A181" s="6" t="inlineStr">
        <is>
          <t>RK-0180</t>
        </is>
      </c>
      <c r="B181" s="6" t="inlineStr">
        <is>
          <t>PJ-068</t>
        </is>
      </c>
      <c r="C181" s="6" t="inlineStr">
        <is>
          <t>Commissioning window collides with summer peak load</t>
        </is>
      </c>
      <c r="D181" s="6" t="inlineStr">
        <is>
          <t>Schedule</t>
        </is>
      </c>
      <c r="E181" s="6" t="n">
        <v>3</v>
      </c>
      <c r="F181" s="6" t="n">
        <v>3</v>
      </c>
      <c r="G181" s="6" t="inlineStr">
        <is>
          <t>Avoid</t>
        </is>
      </c>
      <c r="H181" s="6" t="inlineStr">
        <is>
          <t>M. Osei</t>
        </is>
      </c>
      <c r="I181" s="6" t="inlineStr">
        <is>
          <t>Open</t>
        </is>
      </c>
      <c r="J181" s="9" t="inlineStr">
        <is>
          <t>2027-02-26</t>
        </is>
      </c>
      <c r="K181" s="14">
        <f>E181*F181</f>
        <v/>
      </c>
    </row>
    <row r="182">
      <c r="A182" s="6" t="inlineStr">
        <is>
          <t>RK-0181</t>
        </is>
      </c>
      <c r="B182" s="6" t="inlineStr">
        <is>
          <t>PJ-068</t>
        </is>
      </c>
      <c r="C182" s="6" t="inlineStr">
        <is>
          <t>Land handover contingent on unresolved zoning approval</t>
        </is>
      </c>
      <c r="D182" s="6" t="inlineStr">
        <is>
          <t>Regulatory</t>
        </is>
      </c>
      <c r="E182" s="6" t="n">
        <v>2</v>
      </c>
      <c r="F182" s="6" t="n">
        <v>3</v>
      </c>
      <c r="G182" s="6" t="inlineStr">
        <is>
          <t>Accept</t>
        </is>
      </c>
      <c r="H182" s="6" t="inlineStr">
        <is>
          <t>M. Osei</t>
        </is>
      </c>
      <c r="I182" s="6" t="inlineStr">
        <is>
          <t>Open</t>
        </is>
      </c>
      <c r="J182" s="9" t="inlineStr">
        <is>
          <t>2027-05-13</t>
        </is>
      </c>
      <c r="K182" s="14">
        <f>E182*F182</f>
        <v/>
      </c>
    </row>
    <row r="183">
      <c r="A183" s="6" t="inlineStr">
        <is>
          <t>RK-0182</t>
        </is>
      </c>
      <c r="B183" s="6" t="inlineStr">
        <is>
          <t>PJ-070</t>
        </is>
      </c>
      <c r="C183" s="6" t="inlineStr">
        <is>
          <t>Model evaluation standards not yet defined by regulator</t>
        </is>
      </c>
      <c r="D183" s="6" t="inlineStr">
        <is>
          <t>Regulatory</t>
        </is>
      </c>
      <c r="E183" s="6" t="n">
        <v>1</v>
      </c>
      <c r="F183" s="6" t="n">
        <v>4</v>
      </c>
      <c r="G183" s="6" t="inlineStr">
        <is>
          <t>Transfer</t>
        </is>
      </c>
      <c r="H183" s="6" t="inlineStr">
        <is>
          <t>M. Osei</t>
        </is>
      </c>
      <c r="I183" s="6" t="inlineStr">
        <is>
          <t>Open</t>
        </is>
      </c>
      <c r="J183" s="9" t="inlineStr">
        <is>
          <t>2026-06-13</t>
        </is>
      </c>
      <c r="K183" s="14">
        <f>E183*F183</f>
        <v/>
      </c>
    </row>
    <row r="184">
      <c r="A184" s="6" t="inlineStr">
        <is>
          <t>RK-0183</t>
        </is>
      </c>
      <c r="B184" s="6" t="inlineStr">
        <is>
          <t>PJ-071</t>
        </is>
      </c>
      <c r="C184" s="6" t="inlineStr">
        <is>
          <t>Integration with legacy case system undocumented</t>
        </is>
      </c>
      <c r="D184" s="6" t="inlineStr">
        <is>
          <t>Technical</t>
        </is>
      </c>
      <c r="E184" s="6" t="n">
        <v>3</v>
      </c>
      <c r="F184" s="6" t="n">
        <v>2</v>
      </c>
      <c r="G184" s="6" t="inlineStr">
        <is>
          <t>Mitigate</t>
        </is>
      </c>
      <c r="H184" s="6" t="inlineStr">
        <is>
          <t>M. Osei</t>
        </is>
      </c>
      <c r="I184" s="6" t="inlineStr">
        <is>
          <t>Open</t>
        </is>
      </c>
      <c r="J184" s="9" t="inlineStr">
        <is>
          <t>2026-11-03</t>
        </is>
      </c>
      <c r="K184" s="14">
        <f>E184*F184</f>
        <v/>
      </c>
    </row>
    <row r="185">
      <c r="A185" s="6" t="inlineStr">
        <is>
          <t>RK-0184</t>
        </is>
      </c>
      <c r="B185" s="6" t="inlineStr">
        <is>
          <t>PJ-073</t>
        </is>
      </c>
      <c r="C185" s="6" t="inlineStr">
        <is>
          <t>Benefit assumptions untested with end users</t>
        </is>
      </c>
      <c r="D185" s="6" t="inlineStr">
        <is>
          <t>Benefits</t>
        </is>
      </c>
      <c r="E185" s="6" t="n">
        <v>4</v>
      </c>
      <c r="F185" s="6" t="n">
        <v>4</v>
      </c>
      <c r="G185" s="6" t="inlineStr">
        <is>
          <t>Transfer</t>
        </is>
      </c>
      <c r="H185" s="6" t="inlineStr">
        <is>
          <t>B. Okafor</t>
        </is>
      </c>
      <c r="I185" s="6" t="inlineStr">
        <is>
          <t>Monitoring</t>
        </is>
      </c>
      <c r="J185" s="9" t="inlineStr">
        <is>
          <t>2027-03-10</t>
        </is>
      </c>
      <c r="K185" s="14">
        <f>E185*F185</f>
        <v/>
      </c>
    </row>
    <row r="186">
      <c r="A186" s="6" t="inlineStr">
        <is>
          <t>RK-0185</t>
        </is>
      </c>
      <c r="B186" s="6" t="inlineStr">
        <is>
          <t>PJ-073</t>
        </is>
      </c>
      <c r="C186" s="6" t="inlineStr">
        <is>
          <t>Business availability for testing below plan</t>
        </is>
      </c>
      <c r="D186" s="6" t="inlineStr">
        <is>
          <t>Resource</t>
        </is>
      </c>
      <c r="E186" s="6" t="n">
        <v>4</v>
      </c>
      <c r="F186" s="6" t="n">
        <v>4</v>
      </c>
      <c r="G186" s="6" t="inlineStr">
        <is>
          <t>Avoid</t>
        </is>
      </c>
      <c r="H186" s="6" t="inlineStr">
        <is>
          <t>B. Okafor</t>
        </is>
      </c>
      <c r="I186" s="6" t="inlineStr">
        <is>
          <t>Closed</t>
        </is>
      </c>
      <c r="J186" s="9" t="inlineStr">
        <is>
          <t>2027-01-20</t>
        </is>
      </c>
      <c r="K186" s="14">
        <f>E186*F186</f>
        <v/>
      </c>
    </row>
    <row r="187">
      <c r="A187" s="6" t="inlineStr">
        <is>
          <t>RK-0186</t>
        </is>
      </c>
      <c r="B187" s="6" t="inlineStr">
        <is>
          <t>PJ-073</t>
        </is>
      </c>
      <c r="C187" s="6" t="inlineStr">
        <is>
          <t>Frontline adoption capacity constrained by change load</t>
        </is>
      </c>
      <c r="D187" s="6" t="inlineStr">
        <is>
          <t>Change Adoption</t>
        </is>
      </c>
      <c r="E187" s="6" t="n">
        <v>2</v>
      </c>
      <c r="F187" s="6" t="n">
        <v>2</v>
      </c>
      <c r="G187" s="6" t="inlineStr">
        <is>
          <t>Accept</t>
        </is>
      </c>
      <c r="H187" s="6" t="inlineStr">
        <is>
          <t>B. Okafor</t>
        </is>
      </c>
      <c r="I187" s="6" t="inlineStr">
        <is>
          <t>Monitoring</t>
        </is>
      </c>
      <c r="J187" s="9" t="inlineStr">
        <is>
          <t>2027-01-04</t>
        </is>
      </c>
      <c r="K187" s="14">
        <f>E187*F187</f>
        <v/>
      </c>
    </row>
    <row r="188">
      <c r="A188" s="6" t="inlineStr">
        <is>
          <t>RK-0187</t>
        </is>
      </c>
      <c r="B188" s="6" t="inlineStr">
        <is>
          <t>PJ-075</t>
        </is>
      </c>
      <c r="C188" s="6" t="inlineStr">
        <is>
          <t>Sector regulator approval outstanding</t>
        </is>
      </c>
      <c r="D188" s="6" t="inlineStr">
        <is>
          <t>Regulatory</t>
        </is>
      </c>
      <c r="E188" s="6" t="n">
        <v>4</v>
      </c>
      <c r="F188" s="6" t="n">
        <v>1</v>
      </c>
      <c r="G188" s="6" t="inlineStr">
        <is>
          <t>Avoid</t>
        </is>
      </c>
      <c r="H188" s="6" t="inlineStr">
        <is>
          <t>B. Okafor</t>
        </is>
      </c>
      <c r="I188" s="6" t="inlineStr">
        <is>
          <t>Open</t>
        </is>
      </c>
      <c r="J188" s="9" t="inlineStr">
        <is>
          <t>2026-11-21</t>
        </is>
      </c>
      <c r="K188" s="14">
        <f>E188*F188</f>
        <v/>
      </c>
    </row>
    <row r="189">
      <c r="A189" s="6" t="inlineStr">
        <is>
          <t>RK-0188</t>
        </is>
      </c>
      <c r="B189" s="6" t="inlineStr">
        <is>
          <t>PJ-077</t>
        </is>
      </c>
      <c r="C189" s="6" t="inlineStr">
        <is>
          <t>Construction labour availability in peak season</t>
        </is>
      </c>
      <c r="D189" s="6" t="inlineStr">
        <is>
          <t>Resource</t>
        </is>
      </c>
      <c r="E189" s="6" t="n">
        <v>5</v>
      </c>
      <c r="F189" s="6" t="n">
        <v>2</v>
      </c>
      <c r="G189" s="6" t="inlineStr">
        <is>
          <t>Accept</t>
        </is>
      </c>
      <c r="H189" s="6" t="inlineStr">
        <is>
          <t>D. Kaur</t>
        </is>
      </c>
      <c r="I189" s="6" t="inlineStr">
        <is>
          <t>Open</t>
        </is>
      </c>
      <c r="J189" s="9" t="inlineStr">
        <is>
          <t>2027-04-26</t>
        </is>
      </c>
      <c r="K189" s="14">
        <f>E189*F189</f>
        <v/>
      </c>
    </row>
    <row r="190">
      <c r="A190" s="6" t="inlineStr">
        <is>
          <t>RK-0189</t>
        </is>
      </c>
      <c r="B190" s="6" t="inlineStr">
        <is>
          <t>PJ-077</t>
        </is>
      </c>
      <c r="C190" s="6" t="inlineStr">
        <is>
          <t>Land handover contingent on unresolved zoning approval</t>
        </is>
      </c>
      <c r="D190" s="6" t="inlineStr">
        <is>
          <t>Regulatory</t>
        </is>
      </c>
      <c r="E190" s="6" t="n">
        <v>1</v>
      </c>
      <c r="F190" s="6" t="n">
        <v>2</v>
      </c>
      <c r="G190" s="6" t="inlineStr">
        <is>
          <t>Transfer</t>
        </is>
      </c>
      <c r="H190" s="6" t="inlineStr">
        <is>
          <t>D. Kaur</t>
        </is>
      </c>
      <c r="I190" s="6" t="inlineStr">
        <is>
          <t>Closed</t>
        </is>
      </c>
      <c r="J190" s="9" t="inlineStr">
        <is>
          <t>2026-09-18</t>
        </is>
      </c>
      <c r="K190" s="14">
        <f>E190*F190</f>
        <v/>
      </c>
    </row>
    <row r="191">
      <c r="A191" s="6" t="inlineStr">
        <is>
          <t>RK-0190</t>
        </is>
      </c>
      <c r="B191" s="6" t="inlineStr">
        <is>
          <t>PJ-077</t>
        </is>
      </c>
      <c r="C191" s="6" t="inlineStr">
        <is>
          <t>Grid connection date slips beyond facility readiness</t>
        </is>
      </c>
      <c r="D191" s="6" t="inlineStr">
        <is>
          <t>Energy &amp; Grid</t>
        </is>
      </c>
      <c r="E191" s="6" t="n">
        <v>4</v>
      </c>
      <c r="F191" s="6" t="n">
        <v>4</v>
      </c>
      <c r="G191" s="6" t="inlineStr">
        <is>
          <t>Transfer</t>
        </is>
      </c>
      <c r="H191" s="6" t="inlineStr">
        <is>
          <t>D. Kaur</t>
        </is>
      </c>
      <c r="I191" s="6" t="inlineStr">
        <is>
          <t>Closed</t>
        </is>
      </c>
      <c r="J191" s="9" t="inlineStr">
        <is>
          <t>2026-06-11</t>
        </is>
      </c>
      <c r="K191" s="14">
        <f>E191*F191</f>
        <v/>
      </c>
    </row>
    <row r="192">
      <c r="A192" s="6" t="inlineStr">
        <is>
          <t>RK-0191</t>
        </is>
      </c>
      <c r="B192" s="6" t="inlineStr">
        <is>
          <t>PJ-077</t>
        </is>
      </c>
      <c r="C192" s="6" t="inlineStr">
        <is>
          <t>Commissioning window collides with summer peak load</t>
        </is>
      </c>
      <c r="D192" s="6" t="inlineStr">
        <is>
          <t>Schedule</t>
        </is>
      </c>
      <c r="E192" s="6" t="n">
        <v>4</v>
      </c>
      <c r="F192" s="6" t="n">
        <v>1</v>
      </c>
      <c r="G192" s="6" t="inlineStr">
        <is>
          <t>Accept</t>
        </is>
      </c>
      <c r="H192" s="6" t="inlineStr">
        <is>
          <t>D. Kaur</t>
        </is>
      </c>
      <c r="I192" s="6" t="inlineStr">
        <is>
          <t>Monitoring</t>
        </is>
      </c>
      <c r="J192" s="9" t="inlineStr">
        <is>
          <t>2026-06-21</t>
        </is>
      </c>
      <c r="K192" s="14">
        <f>E192*F192</f>
        <v/>
      </c>
    </row>
    <row r="193">
      <c r="A193" s="6" t="inlineStr">
        <is>
          <t>RK-0192</t>
        </is>
      </c>
      <c r="B193" s="6" t="inlineStr">
        <is>
          <t>PJ-078</t>
        </is>
      </c>
      <c r="C193" s="6" t="inlineStr">
        <is>
          <t>Source system data access agreement unsigned</t>
        </is>
      </c>
      <c r="D193" s="6" t="inlineStr">
        <is>
          <t>Regulatory</t>
        </is>
      </c>
      <c r="E193" s="6" t="n">
        <v>1</v>
      </c>
      <c r="F193" s="6" t="n">
        <v>4</v>
      </c>
      <c r="G193" s="6" t="inlineStr">
        <is>
          <t>Avoid</t>
        </is>
      </c>
      <c r="H193" s="6" t="inlineStr">
        <is>
          <t>D. Kaur</t>
        </is>
      </c>
      <c r="I193" s="6" t="inlineStr">
        <is>
          <t>Monitoring</t>
        </is>
      </c>
      <c r="J193" s="9" t="inlineStr">
        <is>
          <t>2027-04-04</t>
        </is>
      </c>
      <c r="K193" s="14">
        <f>E193*F193</f>
        <v/>
      </c>
    </row>
    <row r="194">
      <c r="A194" s="6" t="inlineStr">
        <is>
          <t>RK-0193</t>
        </is>
      </c>
      <c r="B194" s="6" t="inlineStr">
        <is>
          <t>PJ-080</t>
        </is>
      </c>
      <c r="C194" s="6" t="inlineStr">
        <is>
          <t>Operating model for post-go-live support undefined</t>
        </is>
      </c>
      <c r="D194" s="6" t="inlineStr">
        <is>
          <t>Resource</t>
        </is>
      </c>
      <c r="E194" s="6" t="n">
        <v>2</v>
      </c>
      <c r="F194" s="6" t="n">
        <v>3</v>
      </c>
      <c r="G194" s="6" t="inlineStr">
        <is>
          <t>Accept</t>
        </is>
      </c>
      <c r="H194" s="6" t="inlineStr">
        <is>
          <t>D. Kaur</t>
        </is>
      </c>
      <c r="I194" s="6" t="inlineStr">
        <is>
          <t>Open</t>
        </is>
      </c>
      <c r="J194" s="9" t="inlineStr">
        <is>
          <t>2027-04-17</t>
        </is>
      </c>
      <c r="K194" s="14">
        <f>E194*F194</f>
        <v/>
      </c>
    </row>
    <row r="195">
      <c r="A195" s="6" t="inlineStr">
        <is>
          <t>RK-0194</t>
        </is>
      </c>
      <c r="B195" s="6" t="inlineStr">
        <is>
          <t>PJ-080</t>
        </is>
      </c>
      <c r="C195" s="6" t="inlineStr">
        <is>
          <t>Model bias review may require retraining</t>
        </is>
      </c>
      <c r="D195" s="6" t="inlineStr">
        <is>
          <t>Regulatory</t>
        </is>
      </c>
      <c r="E195" s="6" t="n">
        <v>1</v>
      </c>
      <c r="F195" s="6" t="n">
        <v>3</v>
      </c>
      <c r="G195" s="6" t="inlineStr">
        <is>
          <t>Mitigate</t>
        </is>
      </c>
      <c r="H195" s="6" t="inlineStr">
        <is>
          <t>D. Kaur</t>
        </is>
      </c>
      <c r="I195" s="6" t="inlineStr">
        <is>
          <t>Open</t>
        </is>
      </c>
      <c r="J195" s="9" t="inlineStr">
        <is>
          <t>2027-05-07</t>
        </is>
      </c>
      <c r="K195" s="14">
        <f>E195*F195</f>
        <v/>
      </c>
    </row>
    <row r="196">
      <c r="A196" s="6" t="inlineStr">
        <is>
          <t>RK-0195</t>
        </is>
      </c>
      <c r="B196" s="6" t="inlineStr">
        <is>
          <t>PJ-080</t>
        </is>
      </c>
      <c r="C196" s="6" t="inlineStr">
        <is>
          <t>Source system data access agreement unsigned</t>
        </is>
      </c>
      <c r="D196" s="6" t="inlineStr">
        <is>
          <t>Regulatory</t>
        </is>
      </c>
      <c r="E196" s="6" t="n">
        <v>3</v>
      </c>
      <c r="F196" s="6" t="n">
        <v>3</v>
      </c>
      <c r="G196" s="6" t="inlineStr">
        <is>
          <t>Transfer</t>
        </is>
      </c>
      <c r="H196" s="6" t="inlineStr">
        <is>
          <t>D. Kaur</t>
        </is>
      </c>
      <c r="I196" s="6" t="inlineStr">
        <is>
          <t>Open</t>
        </is>
      </c>
      <c r="J196" s="9" t="inlineStr">
        <is>
          <t>2026-07-06</t>
        </is>
      </c>
      <c r="K196" s="14">
        <f>E196*F196</f>
        <v/>
      </c>
    </row>
    <row r="197">
      <c r="A197" s="6" t="inlineStr">
        <is>
          <t>RK-0196</t>
        </is>
      </c>
      <c r="B197" s="6" t="inlineStr">
        <is>
          <t>PJ-080</t>
        </is>
      </c>
      <c r="C197" s="6" t="inlineStr">
        <is>
          <t>Frontline adoption capacity constrained by change load</t>
        </is>
      </c>
      <c r="D197" s="6" t="inlineStr">
        <is>
          <t>Change Adoption</t>
        </is>
      </c>
      <c r="E197" s="6" t="n">
        <v>4</v>
      </c>
      <c r="F197" s="6" t="n">
        <v>2</v>
      </c>
      <c r="G197" s="6" t="inlineStr">
        <is>
          <t>Avoid</t>
        </is>
      </c>
      <c r="H197" s="6" t="inlineStr">
        <is>
          <t>D. Kaur</t>
        </is>
      </c>
      <c r="I197" s="6" t="inlineStr">
        <is>
          <t>Open</t>
        </is>
      </c>
      <c r="J197" s="9" t="inlineStr">
        <is>
          <t>2027-01-02</t>
        </is>
      </c>
      <c r="K197" s="14">
        <f>E197*F197</f>
        <v/>
      </c>
    </row>
    <row r="198">
      <c r="A198" s="6" t="inlineStr">
        <is>
          <t>RK-0197</t>
        </is>
      </c>
      <c r="B198" s="6" t="inlineStr">
        <is>
          <t>PJ-081</t>
        </is>
      </c>
      <c r="C198" s="6" t="inlineStr">
        <is>
          <t>Inference cost per token above commercial viability</t>
        </is>
      </c>
      <c r="D198" s="6" t="inlineStr">
        <is>
          <t>Cost</t>
        </is>
      </c>
      <c r="E198" s="6" t="n">
        <v>1</v>
      </c>
      <c r="F198" s="6" t="n">
        <v>3</v>
      </c>
      <c r="G198" s="6" t="inlineStr">
        <is>
          <t>Avoid</t>
        </is>
      </c>
      <c r="H198" s="6" t="inlineStr">
        <is>
          <t>E. Castellani</t>
        </is>
      </c>
      <c r="I198" s="6" t="inlineStr">
        <is>
          <t>Open</t>
        </is>
      </c>
      <c r="J198" s="9" t="inlineStr">
        <is>
          <t>2026-07-03</t>
        </is>
      </c>
      <c r="K198" s="14">
        <f>E198*F198</f>
        <v/>
      </c>
    </row>
    <row r="199">
      <c r="A199" s="6" t="inlineStr">
        <is>
          <t>RK-0198</t>
        </is>
      </c>
      <c r="B199" s="6" t="inlineStr">
        <is>
          <t>PJ-081</t>
        </is>
      </c>
      <c r="C199" s="6" t="inlineStr">
        <is>
          <t>Model evaluation standards not yet defined by regulator</t>
        </is>
      </c>
      <c r="D199" s="6" t="inlineStr">
        <is>
          <t>Regulatory</t>
        </is>
      </c>
      <c r="E199" s="6" t="n">
        <v>5</v>
      </c>
      <c r="F199" s="6" t="n">
        <v>4</v>
      </c>
      <c r="G199" s="6" t="inlineStr">
        <is>
          <t>Accept</t>
        </is>
      </c>
      <c r="H199" s="6" t="inlineStr">
        <is>
          <t>E. Castellani</t>
        </is>
      </c>
      <c r="I199" s="6" t="inlineStr">
        <is>
          <t>Open</t>
        </is>
      </c>
      <c r="J199" s="9" t="inlineStr">
        <is>
          <t>2027-05-22</t>
        </is>
      </c>
      <c r="K199" s="14">
        <f>E199*F199</f>
        <v/>
      </c>
    </row>
    <row r="200">
      <c r="A200" s="6" t="inlineStr">
        <is>
          <t>RK-0199</t>
        </is>
      </c>
      <c r="B200" s="6" t="inlineStr">
        <is>
          <t>PJ-081</t>
        </is>
      </c>
      <c r="C200" s="6" t="inlineStr">
        <is>
          <t>Cybersecurity accreditation not complete before go-live</t>
        </is>
      </c>
      <c r="D200" s="6" t="inlineStr">
        <is>
          <t>Cyber</t>
        </is>
      </c>
      <c r="E200" s="6" t="n">
        <v>2</v>
      </c>
      <c r="F200" s="6" t="n">
        <v>2</v>
      </c>
      <c r="G200" s="6" t="inlineStr">
        <is>
          <t>Transfer</t>
        </is>
      </c>
      <c r="H200" s="6" t="inlineStr">
        <is>
          <t>E. Castellani</t>
        </is>
      </c>
      <c r="I200" s="6" t="inlineStr">
        <is>
          <t>Open</t>
        </is>
      </c>
      <c r="J200" s="9" t="inlineStr">
        <is>
          <t>2026-11-25</t>
        </is>
      </c>
      <c r="K200" s="14">
        <f>E200*F200</f>
        <v/>
      </c>
    </row>
    <row r="201">
      <c r="A201" s="6" t="inlineStr">
        <is>
          <t>RK-0200</t>
        </is>
      </c>
      <c r="B201" s="6" t="inlineStr">
        <is>
          <t>PJ-083</t>
        </is>
      </c>
      <c r="C201" s="6" t="inlineStr">
        <is>
          <t>Business availability for testing below plan</t>
        </is>
      </c>
      <c r="D201" s="6" t="inlineStr">
        <is>
          <t>Resource</t>
        </is>
      </c>
      <c r="E201" s="6" t="n">
        <v>4</v>
      </c>
      <c r="F201" s="6" t="n">
        <v>3</v>
      </c>
      <c r="G201" s="6" t="inlineStr">
        <is>
          <t>Avoid</t>
        </is>
      </c>
      <c r="H201" s="6" t="inlineStr">
        <is>
          <t>E. Castellani</t>
        </is>
      </c>
      <c r="I201" s="6" t="inlineStr">
        <is>
          <t>Open</t>
        </is>
      </c>
      <c r="J201" s="9" t="inlineStr">
        <is>
          <t>2027-05-23</t>
        </is>
      </c>
      <c r="K201" s="14">
        <f>E201*F201</f>
        <v/>
      </c>
    </row>
    <row r="202">
      <c r="A202" s="6" t="inlineStr">
        <is>
          <t>RK-0201</t>
        </is>
      </c>
      <c r="B202" s="6" t="inlineStr">
        <is>
          <t>PJ-084</t>
        </is>
      </c>
      <c r="C202" s="6" t="inlineStr">
        <is>
          <t>Operating model for post-go-live support undefined</t>
        </is>
      </c>
      <c r="D202" s="6" t="inlineStr">
        <is>
          <t>Resource</t>
        </is>
      </c>
      <c r="E202" s="6" t="n">
        <v>2</v>
      </c>
      <c r="F202" s="6" t="n">
        <v>2</v>
      </c>
      <c r="G202" s="6" t="inlineStr">
        <is>
          <t>Mitigate</t>
        </is>
      </c>
      <c r="H202" s="6" t="inlineStr">
        <is>
          <t>E. Castellani</t>
        </is>
      </c>
      <c r="I202" s="6" t="inlineStr">
        <is>
          <t>Open</t>
        </is>
      </c>
      <c r="J202" s="9" t="inlineStr">
        <is>
          <t>2027-05-09</t>
        </is>
      </c>
      <c r="K202" s="14">
        <f>E202*F202</f>
        <v/>
      </c>
    </row>
    <row r="203">
      <c r="A203" s="6" t="inlineStr">
        <is>
          <t>RK-0202</t>
        </is>
      </c>
      <c r="B203" s="6" t="inlineStr">
        <is>
          <t>PJ-084</t>
        </is>
      </c>
      <c r="C203" s="6" t="inlineStr">
        <is>
          <t>Sector regulator approval outstanding</t>
        </is>
      </c>
      <c r="D203" s="6" t="inlineStr">
        <is>
          <t>Regulatory</t>
        </is>
      </c>
      <c r="E203" s="6" t="n">
        <v>4</v>
      </c>
      <c r="F203" s="6" t="n">
        <v>2</v>
      </c>
      <c r="G203" s="6" t="inlineStr">
        <is>
          <t>Transfer</t>
        </is>
      </c>
      <c r="H203" s="6" t="inlineStr">
        <is>
          <t>E. Castellani</t>
        </is>
      </c>
      <c r="I203" s="6" t="inlineStr">
        <is>
          <t>Open</t>
        </is>
      </c>
      <c r="J203" s="9" t="inlineStr">
        <is>
          <t>2027-01-16</t>
        </is>
      </c>
      <c r="K203" s="14">
        <f>E203*F203</f>
        <v/>
      </c>
    </row>
    <row r="204">
      <c r="A204" s="6" t="inlineStr">
        <is>
          <t>RK-0203</t>
        </is>
      </c>
      <c r="B204" s="6" t="inlineStr">
        <is>
          <t>PJ-084</t>
        </is>
      </c>
      <c r="C204" s="6" t="inlineStr">
        <is>
          <t>Integration with legacy case system undocumented</t>
        </is>
      </c>
      <c r="D204" s="6" t="inlineStr">
        <is>
          <t>Technical</t>
        </is>
      </c>
      <c r="E204" s="6" t="n">
        <v>1</v>
      </c>
      <c r="F204" s="6" t="n">
        <v>4</v>
      </c>
      <c r="G204" s="6" t="inlineStr">
        <is>
          <t>Mitigate</t>
        </is>
      </c>
      <c r="H204" s="6" t="inlineStr">
        <is>
          <t>E. Castellani</t>
        </is>
      </c>
      <c r="I204" s="6" t="inlineStr">
        <is>
          <t>Monitoring</t>
        </is>
      </c>
      <c r="J204" s="9" t="inlineStr">
        <is>
          <t>2027-02-17</t>
        </is>
      </c>
      <c r="K204" s="14">
        <f>E204*F204</f>
        <v/>
      </c>
    </row>
  </sheetData>
  <autoFilter ref="A1:K204"/>
  <dataValidations count="1">
    <dataValidation sqref="E2:F603" showDropDown="0" showInputMessage="0" showErrorMessage="0" allowBlank="1" type="list">
      <formula1>"1,2,3,4,5"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52" customWidth="1" min="3" max="3"/>
    <col width="12" customWidth="1" min="4" max="4"/>
    <col width="11" customWidth="1" min="5" max="5"/>
    <col width="14" customWidth="1" min="6" max="6"/>
    <col width="14" customWidth="1" min="7" max="7"/>
    <col width="11" customWidth="1" min="8" max="8"/>
  </cols>
  <sheetData>
    <row r="1" ht="30" customHeight="1">
      <c r="A1" s="5" t="inlineStr">
        <is>
          <t>IssueID</t>
        </is>
      </c>
      <c r="B1" s="5" t="inlineStr">
        <is>
          <t>ProjectID</t>
        </is>
      </c>
      <c r="C1" s="5" t="inlineStr">
        <is>
          <t>IssueTitle</t>
        </is>
      </c>
      <c r="D1" s="5" t="inlineStr">
        <is>
          <t>Severity</t>
        </is>
      </c>
      <c r="E1" s="5" t="inlineStr">
        <is>
          <t>Owner</t>
        </is>
      </c>
      <c r="F1" s="5" t="inlineStr">
        <is>
          <t>RaisedDate</t>
        </is>
      </c>
      <c r="G1" s="5" t="inlineStr">
        <is>
          <t>TargetDate</t>
        </is>
      </c>
      <c r="H1" s="5" t="inlineStr">
        <is>
          <t>Status</t>
        </is>
      </c>
    </row>
    <row r="2">
      <c r="A2" s="6" t="inlineStr">
        <is>
          <t>IS-0001</t>
        </is>
      </c>
      <c r="B2" s="6" t="inlineStr">
        <is>
          <t>PJ-001</t>
        </is>
      </c>
      <c r="C2" s="6" t="inlineStr">
        <is>
          <t>Contractor claim in dispute, blocking milestone certification</t>
        </is>
      </c>
      <c r="D2" s="6" t="inlineStr">
        <is>
          <t>High</t>
        </is>
      </c>
      <c r="E2" s="6" t="inlineStr">
        <is>
          <t>R. Nakamura</t>
        </is>
      </c>
      <c r="F2" s="9" t="inlineStr">
        <is>
          <t>2025-12-05</t>
        </is>
      </c>
      <c r="G2" s="9" t="inlineStr">
        <is>
          <t>2026-01-03</t>
        </is>
      </c>
      <c r="H2" s="6" t="inlineStr">
        <is>
          <t>In Progress</t>
        </is>
      </c>
    </row>
    <row r="3">
      <c r="A3" s="6" t="inlineStr">
        <is>
          <t>IS-0002</t>
        </is>
      </c>
      <c r="B3" s="6" t="inlineStr">
        <is>
          <t>PJ-003</t>
        </is>
      </c>
      <c r="C3" s="6" t="inlineStr">
        <is>
          <t>Environment unavailable since the last platform release</t>
        </is>
      </c>
      <c r="D3" s="6" t="inlineStr">
        <is>
          <t>Medium</t>
        </is>
      </c>
      <c r="E3" s="6" t="inlineStr">
        <is>
          <t>R. Nakamura</t>
        </is>
      </c>
      <c r="F3" s="9" t="inlineStr">
        <is>
          <t>2026-01-12</t>
        </is>
      </c>
      <c r="G3" s="9" t="inlineStr">
        <is>
          <t>2026-05-14</t>
        </is>
      </c>
      <c r="H3" s="6" t="inlineStr">
        <is>
          <t>Open</t>
        </is>
      </c>
    </row>
    <row r="4">
      <c r="A4" s="6" t="inlineStr">
        <is>
          <t>IS-0003</t>
        </is>
      </c>
      <c r="B4" s="6" t="inlineStr">
        <is>
          <t>PJ-004</t>
        </is>
      </c>
      <c r="C4" s="6" t="inlineStr">
        <is>
          <t>Interministerial approval overdue from sponsoring department</t>
        </is>
      </c>
      <c r="D4" s="6" t="inlineStr">
        <is>
          <t>Medium</t>
        </is>
      </c>
      <c r="E4" s="6" t="inlineStr">
        <is>
          <t>R. Nakamura</t>
        </is>
      </c>
      <c r="F4" s="9" t="inlineStr">
        <is>
          <t>2025-10-24</t>
        </is>
      </c>
      <c r="G4" s="9" t="inlineStr">
        <is>
          <t>2026-02-22</t>
        </is>
      </c>
      <c r="H4" s="6" t="inlineStr">
        <is>
          <t>Resolved</t>
        </is>
      </c>
    </row>
    <row r="5">
      <c r="A5" s="6" t="inlineStr">
        <is>
          <t>IS-0004</t>
        </is>
      </c>
      <c r="B5" s="6" t="inlineStr">
        <is>
          <t>PJ-004</t>
        </is>
      </c>
      <c r="C5" s="6" t="inlineStr">
        <is>
          <t>Defect backlog above agreed exit criteria</t>
        </is>
      </c>
      <c r="D5" s="6" t="inlineStr">
        <is>
          <t>High</t>
        </is>
      </c>
      <c r="E5" s="6" t="inlineStr">
        <is>
          <t>R. Nakamura</t>
        </is>
      </c>
      <c r="F5" s="9" t="inlineStr">
        <is>
          <t>2026-02-01</t>
        </is>
      </c>
      <c r="G5" s="9" t="inlineStr">
        <is>
          <t>2026-04-16</t>
        </is>
      </c>
      <c r="H5" s="6" t="inlineStr">
        <is>
          <t>Open</t>
        </is>
      </c>
    </row>
    <row r="6">
      <c r="A6" s="6" t="inlineStr">
        <is>
          <t>IS-0005</t>
        </is>
      </c>
      <c r="B6" s="6" t="inlineStr">
        <is>
          <t>PJ-004</t>
        </is>
      </c>
      <c r="C6" s="6" t="inlineStr">
        <is>
          <t>Vendor delivery slipped against contracted milestone</t>
        </is>
      </c>
      <c r="D6" s="6" t="inlineStr">
        <is>
          <t>Low</t>
        </is>
      </c>
      <c r="E6" s="6" t="inlineStr">
        <is>
          <t>R. Nakamura</t>
        </is>
      </c>
      <c r="F6" s="9" t="inlineStr">
        <is>
          <t>2026-07-09</t>
        </is>
      </c>
      <c r="G6" s="9" t="inlineStr">
        <is>
          <t>2026-10-20</t>
        </is>
      </c>
      <c r="H6" s="6" t="inlineStr">
        <is>
          <t>In Progress</t>
        </is>
      </c>
    </row>
    <row r="7">
      <c r="A7" s="6" t="inlineStr">
        <is>
          <t>IS-0006</t>
        </is>
      </c>
      <c r="B7" s="6" t="inlineStr">
        <is>
          <t>PJ-007</t>
        </is>
      </c>
      <c r="C7" s="6" t="inlineStr">
        <is>
          <t>Vendor delivery slipped against contracted milestone</t>
        </is>
      </c>
      <c r="D7" s="6" t="inlineStr">
        <is>
          <t>High</t>
        </is>
      </c>
      <c r="E7" s="6" t="inlineStr">
        <is>
          <t>L. Bergstrom</t>
        </is>
      </c>
      <c r="F7" s="9" t="inlineStr">
        <is>
          <t>2025-11-26</t>
        </is>
      </c>
      <c r="G7" s="9" t="inlineStr">
        <is>
          <t>2026-02-06</t>
        </is>
      </c>
      <c r="H7" s="6" t="inlineStr">
        <is>
          <t>Resolved</t>
        </is>
      </c>
    </row>
    <row r="8">
      <c r="A8" s="6" t="inlineStr">
        <is>
          <t>IS-0007</t>
        </is>
      </c>
      <c r="B8" s="6" t="inlineStr">
        <is>
          <t>PJ-008</t>
        </is>
      </c>
      <c r="C8" s="6" t="inlineStr">
        <is>
          <t>Environment unavailable since the last platform release</t>
        </is>
      </c>
      <c r="D8" s="6" t="inlineStr">
        <is>
          <t>Medium</t>
        </is>
      </c>
      <c r="E8" s="6" t="inlineStr">
        <is>
          <t>L. Bergstrom</t>
        </is>
      </c>
      <c r="F8" s="9" t="inlineStr">
        <is>
          <t>2025-12-23</t>
        </is>
      </c>
      <c r="G8" s="9" t="inlineStr">
        <is>
          <t>2026-03-09</t>
        </is>
      </c>
      <c r="H8" s="6" t="inlineStr">
        <is>
          <t>Open</t>
        </is>
      </c>
    </row>
    <row r="9">
      <c r="A9" s="6" t="inlineStr">
        <is>
          <t>IS-0008</t>
        </is>
      </c>
      <c r="B9" s="6" t="inlineStr">
        <is>
          <t>PJ-008</t>
        </is>
      </c>
      <c r="C9" s="6" t="inlineStr">
        <is>
          <t>Defect backlog above agreed exit criteria</t>
        </is>
      </c>
      <c r="D9" s="6" t="inlineStr">
        <is>
          <t>Medium</t>
        </is>
      </c>
      <c r="E9" s="6" t="inlineStr">
        <is>
          <t>L. Bergstrom</t>
        </is>
      </c>
      <c r="F9" s="9" t="inlineStr">
        <is>
          <t>2026-02-03</t>
        </is>
      </c>
      <c r="G9" s="9" t="inlineStr">
        <is>
          <t>2026-07-03</t>
        </is>
      </c>
      <c r="H9" s="6" t="inlineStr">
        <is>
          <t>Resolved</t>
        </is>
      </c>
    </row>
    <row r="10">
      <c r="A10" s="6" t="inlineStr">
        <is>
          <t>IS-0009</t>
        </is>
      </c>
      <c r="B10" s="6" t="inlineStr">
        <is>
          <t>PJ-008</t>
        </is>
      </c>
      <c r="C10" s="6" t="inlineStr">
        <is>
          <t>Vendor delivery slipped against contracted milestone</t>
        </is>
      </c>
      <c r="D10" s="6" t="inlineStr">
        <is>
          <t>Medium</t>
        </is>
      </c>
      <c r="E10" s="6" t="inlineStr">
        <is>
          <t>L. Bergstrom</t>
        </is>
      </c>
      <c r="F10" s="9" t="inlineStr">
        <is>
          <t>2026-02-04</t>
        </is>
      </c>
      <c r="G10" s="9" t="inlineStr">
        <is>
          <t>2026-05-13</t>
        </is>
      </c>
      <c r="H10" s="6" t="inlineStr">
        <is>
          <t>In Progress</t>
        </is>
      </c>
    </row>
    <row r="11">
      <c r="A11" s="6" t="inlineStr">
        <is>
          <t>IS-0010</t>
        </is>
      </c>
      <c r="B11" s="6" t="inlineStr">
        <is>
          <t>PJ-008</t>
        </is>
      </c>
      <c r="C11" s="6" t="inlineStr">
        <is>
          <t>Key technical lead resigned from the delivery squad</t>
        </is>
      </c>
      <c r="D11" s="6" t="inlineStr">
        <is>
          <t>Low</t>
        </is>
      </c>
      <c r="E11" s="6" t="inlineStr">
        <is>
          <t>L. Bergstrom</t>
        </is>
      </c>
      <c r="F11" s="9" t="inlineStr">
        <is>
          <t>2026-02-16</t>
        </is>
      </c>
      <c r="G11" s="9" t="inlineStr">
        <is>
          <t>2026-03-04</t>
        </is>
      </c>
      <c r="H11" s="6" t="inlineStr">
        <is>
          <t>Open</t>
        </is>
      </c>
    </row>
    <row r="12">
      <c r="A12" s="6" t="inlineStr">
        <is>
          <t>IS-0011</t>
        </is>
      </c>
      <c r="B12" s="6" t="inlineStr">
        <is>
          <t>PJ-009</t>
        </is>
      </c>
      <c r="C12" s="6" t="inlineStr">
        <is>
          <t>Vendor delivery slipped against contracted milestone</t>
        </is>
      </c>
      <c r="D12" s="6" t="inlineStr">
        <is>
          <t>High</t>
        </is>
      </c>
      <c r="E12" s="6" t="inlineStr">
        <is>
          <t>L. Bergstrom</t>
        </is>
      </c>
      <c r="F12" s="9" t="inlineStr">
        <is>
          <t>2025-12-26</t>
        </is>
      </c>
      <c r="G12" s="9" t="inlineStr">
        <is>
          <t>2026-05-07</t>
        </is>
      </c>
      <c r="H12" s="6" t="inlineStr">
        <is>
          <t>Open</t>
        </is>
      </c>
    </row>
    <row r="13">
      <c r="A13" s="6" t="inlineStr">
        <is>
          <t>IS-0012</t>
        </is>
      </c>
      <c r="B13" s="6" t="inlineStr">
        <is>
          <t>PJ-009</t>
        </is>
      </c>
      <c r="C13" s="6" t="inlineStr">
        <is>
          <t>Site access delayed pending safety clearance</t>
        </is>
      </c>
      <c r="D13" s="6" t="inlineStr">
        <is>
          <t>Medium</t>
        </is>
      </c>
      <c r="E13" s="6" t="inlineStr">
        <is>
          <t>L. Bergstrom</t>
        </is>
      </c>
      <c r="F13" s="9" t="inlineStr">
        <is>
          <t>2026-06-01</t>
        </is>
      </c>
      <c r="G13" s="9" t="inlineStr">
        <is>
          <t>2026-06-27</t>
        </is>
      </c>
      <c r="H13" s="6" t="inlineStr">
        <is>
          <t>In Progress</t>
        </is>
      </c>
    </row>
    <row r="14">
      <c r="A14" s="6" t="inlineStr">
        <is>
          <t>IS-0013</t>
        </is>
      </c>
      <c r="B14" s="6" t="inlineStr">
        <is>
          <t>PJ-009</t>
        </is>
      </c>
      <c r="C14" s="6" t="inlineStr">
        <is>
          <t>Defect backlog above agreed exit criteria</t>
        </is>
      </c>
      <c r="D14" s="6" t="inlineStr">
        <is>
          <t>Medium</t>
        </is>
      </c>
      <c r="E14" s="6" t="inlineStr">
        <is>
          <t>L. Bergstrom</t>
        </is>
      </c>
      <c r="F14" s="9" t="inlineStr">
        <is>
          <t>2026-05-01</t>
        </is>
      </c>
      <c r="G14" s="9" t="inlineStr">
        <is>
          <t>2026-06-16</t>
        </is>
      </c>
      <c r="H14" s="6" t="inlineStr">
        <is>
          <t>Resolved</t>
        </is>
      </c>
    </row>
    <row r="15">
      <c r="A15" s="6" t="inlineStr">
        <is>
          <t>IS-0014</t>
        </is>
      </c>
      <c r="B15" s="6" t="inlineStr">
        <is>
          <t>PJ-009</t>
        </is>
      </c>
      <c r="C15" s="6" t="inlineStr">
        <is>
          <t>Interministerial approval overdue from sponsoring department</t>
        </is>
      </c>
      <c r="D15" s="6" t="inlineStr">
        <is>
          <t>Medium</t>
        </is>
      </c>
      <c r="E15" s="6" t="inlineStr">
        <is>
          <t>L. Bergstrom</t>
        </is>
      </c>
      <c r="F15" s="9" t="inlineStr">
        <is>
          <t>2026-03-18</t>
        </is>
      </c>
      <c r="G15" s="9" t="inlineStr">
        <is>
          <t>2026-08-08</t>
        </is>
      </c>
      <c r="H15" s="6" t="inlineStr">
        <is>
          <t>In Progress</t>
        </is>
      </c>
    </row>
    <row r="16">
      <c r="A16" s="6" t="inlineStr">
        <is>
          <t>IS-0015</t>
        </is>
      </c>
      <c r="B16" s="6" t="inlineStr">
        <is>
          <t>PJ-011</t>
        </is>
      </c>
      <c r="C16" s="6" t="inlineStr">
        <is>
          <t>Defect backlog above agreed exit criteria</t>
        </is>
      </c>
      <c r="D16" s="6" t="inlineStr">
        <is>
          <t>High</t>
        </is>
      </c>
      <c r="E16" s="6" t="inlineStr">
        <is>
          <t>L. Bergstrom</t>
        </is>
      </c>
      <c r="F16" s="9" t="inlineStr">
        <is>
          <t>2026-08-15</t>
        </is>
      </c>
      <c r="G16" s="9" t="inlineStr">
        <is>
          <t>2026-09-14</t>
        </is>
      </c>
      <c r="H16" s="6" t="inlineStr">
        <is>
          <t>Open</t>
        </is>
      </c>
    </row>
    <row r="17">
      <c r="A17" s="6" t="inlineStr">
        <is>
          <t>IS-0016</t>
        </is>
      </c>
      <c r="B17" s="6" t="inlineStr">
        <is>
          <t>PJ-011</t>
        </is>
      </c>
      <c r="C17" s="6" t="inlineStr">
        <is>
          <t>Interministerial approval overdue from sponsoring department</t>
        </is>
      </c>
      <c r="D17" s="6" t="inlineStr">
        <is>
          <t>Medium</t>
        </is>
      </c>
      <c r="E17" s="6" t="inlineStr">
        <is>
          <t>L. Bergstrom</t>
        </is>
      </c>
      <c r="F17" s="9" t="inlineStr">
        <is>
          <t>2026-01-13</t>
        </is>
      </c>
      <c r="G17" s="9" t="inlineStr">
        <is>
          <t>2026-04-23</t>
        </is>
      </c>
      <c r="H17" s="6" t="inlineStr">
        <is>
          <t>In Progress</t>
        </is>
      </c>
    </row>
    <row r="18">
      <c r="A18" s="6" t="inlineStr">
        <is>
          <t>IS-0017</t>
        </is>
      </c>
      <c r="B18" s="6" t="inlineStr">
        <is>
          <t>PJ-011</t>
        </is>
      </c>
      <c r="C18" s="6" t="inlineStr">
        <is>
          <t>Site access delayed pending safety clearance</t>
        </is>
      </c>
      <c r="D18" s="6" t="inlineStr">
        <is>
          <t>High</t>
        </is>
      </c>
      <c r="E18" s="6" t="inlineStr">
        <is>
          <t>L. Bergstrom</t>
        </is>
      </c>
      <c r="F18" s="9" t="inlineStr">
        <is>
          <t>2026-07-23</t>
        </is>
      </c>
      <c r="G18" s="9" t="inlineStr">
        <is>
          <t>2026-09-05</t>
        </is>
      </c>
      <c r="H18" s="6" t="inlineStr">
        <is>
          <t>Resolved</t>
        </is>
      </c>
    </row>
    <row r="19">
      <c r="A19" s="6" t="inlineStr">
        <is>
          <t>IS-0018</t>
        </is>
      </c>
      <c r="B19" s="6" t="inlineStr">
        <is>
          <t>PJ-011</t>
        </is>
      </c>
      <c r="C19" s="6" t="inlineStr">
        <is>
          <t>Accuracy benchmark not met in evaluation testing</t>
        </is>
      </c>
      <c r="D19" s="6" t="inlineStr">
        <is>
          <t>High</t>
        </is>
      </c>
      <c r="E19" s="6" t="inlineStr">
        <is>
          <t>L. Bergstrom</t>
        </is>
      </c>
      <c r="F19" s="9" t="inlineStr">
        <is>
          <t>2026-03-24</t>
        </is>
      </c>
      <c r="G19" s="9" t="inlineStr">
        <is>
          <t>2026-05-16</t>
        </is>
      </c>
      <c r="H19" s="6" t="inlineStr">
        <is>
          <t>Resolved</t>
        </is>
      </c>
    </row>
    <row r="20">
      <c r="A20" s="6" t="inlineStr">
        <is>
          <t>IS-0019</t>
        </is>
      </c>
      <c r="B20" s="6" t="inlineStr">
        <is>
          <t>PJ-012</t>
        </is>
      </c>
      <c r="C20" s="6" t="inlineStr">
        <is>
          <t>Upstream dependency milestone missed by another programme</t>
        </is>
      </c>
      <c r="D20" s="6" t="inlineStr">
        <is>
          <t>Medium</t>
        </is>
      </c>
      <c r="E20" s="6" t="inlineStr">
        <is>
          <t>L. Bergstrom</t>
        </is>
      </c>
      <c r="F20" s="9" t="inlineStr">
        <is>
          <t>2026-01-01</t>
        </is>
      </c>
      <c r="G20" s="9" t="inlineStr">
        <is>
          <t>2026-02-20</t>
        </is>
      </c>
      <c r="H20" s="6" t="inlineStr">
        <is>
          <t>Resolved</t>
        </is>
      </c>
    </row>
    <row r="21">
      <c r="A21" s="6" t="inlineStr">
        <is>
          <t>IS-0020</t>
        </is>
      </c>
      <c r="B21" s="6" t="inlineStr">
        <is>
          <t>PJ-012</t>
        </is>
      </c>
      <c r="C21" s="6" t="inlineStr">
        <is>
          <t>Data sharing agreement rejected by the source authority</t>
        </is>
      </c>
      <c r="D21" s="6" t="inlineStr">
        <is>
          <t>Medium</t>
        </is>
      </c>
      <c r="E21" s="6" t="inlineStr">
        <is>
          <t>L. Bergstrom</t>
        </is>
      </c>
      <c r="F21" s="9" t="inlineStr">
        <is>
          <t>2026-07-15</t>
        </is>
      </c>
      <c r="G21" s="9" t="inlineStr">
        <is>
          <t>2026-12-07</t>
        </is>
      </c>
      <c r="H21" s="6" t="inlineStr">
        <is>
          <t>Resolved</t>
        </is>
      </c>
    </row>
    <row r="22">
      <c r="A22" s="6" t="inlineStr">
        <is>
          <t>IS-0021</t>
        </is>
      </c>
      <c r="B22" s="6" t="inlineStr">
        <is>
          <t>PJ-012</t>
        </is>
      </c>
      <c r="C22" s="6" t="inlineStr">
        <is>
          <t>Defect backlog above agreed exit criteria</t>
        </is>
      </c>
      <c r="D22" s="6" t="inlineStr">
        <is>
          <t>Critical</t>
        </is>
      </c>
      <c r="E22" s="6" t="inlineStr">
        <is>
          <t>L. Bergstrom</t>
        </is>
      </c>
      <c r="F22" s="9" t="inlineStr">
        <is>
          <t>2026-07-18</t>
        </is>
      </c>
      <c r="G22" s="9" t="inlineStr">
        <is>
          <t>2026-09-18</t>
        </is>
      </c>
      <c r="H22" s="6" t="inlineStr">
        <is>
          <t>Open</t>
        </is>
      </c>
    </row>
    <row r="23">
      <c r="A23" s="6" t="inlineStr">
        <is>
          <t>IS-0022</t>
        </is>
      </c>
      <c r="B23" s="6" t="inlineStr">
        <is>
          <t>PJ-012</t>
        </is>
      </c>
      <c r="C23" s="6" t="inlineStr">
        <is>
          <t>Approved budget not yet released by treasury</t>
        </is>
      </c>
      <c r="D23" s="6" t="inlineStr">
        <is>
          <t>Medium</t>
        </is>
      </c>
      <c r="E23" s="6" t="inlineStr">
        <is>
          <t>L. Bergstrom</t>
        </is>
      </c>
      <c r="F23" s="9" t="inlineStr">
        <is>
          <t>2026-08-11</t>
        </is>
      </c>
      <c r="G23" s="9" t="inlineStr">
        <is>
          <t>2026-10-24</t>
        </is>
      </c>
      <c r="H23" s="6" t="inlineStr">
        <is>
          <t>In Progress</t>
        </is>
      </c>
    </row>
    <row r="24">
      <c r="A24" s="6" t="inlineStr">
        <is>
          <t>IS-0023</t>
        </is>
      </c>
      <c r="B24" s="6" t="inlineStr">
        <is>
          <t>PJ-012</t>
        </is>
      </c>
      <c r="C24" s="6" t="inlineStr">
        <is>
          <t>Interministerial approval overdue from sponsoring department</t>
        </is>
      </c>
      <c r="D24" s="6" t="inlineStr">
        <is>
          <t>High</t>
        </is>
      </c>
      <c r="E24" s="6" t="inlineStr">
        <is>
          <t>L. Bergstrom</t>
        </is>
      </c>
      <c r="F24" s="9" t="inlineStr">
        <is>
          <t>2026-06-08</t>
        </is>
      </c>
      <c r="G24" s="9" t="inlineStr">
        <is>
          <t>2026-07-29</t>
        </is>
      </c>
      <c r="H24" s="6" t="inlineStr">
        <is>
          <t>Resolved</t>
        </is>
      </c>
    </row>
    <row r="25">
      <c r="A25" s="6" t="inlineStr">
        <is>
          <t>IS-0024</t>
        </is>
      </c>
      <c r="B25" s="6" t="inlineStr">
        <is>
          <t>PJ-014</t>
        </is>
      </c>
      <c r="C25" s="6" t="inlineStr">
        <is>
          <t>Key technical lead resigned from the delivery squad</t>
        </is>
      </c>
      <c r="D25" s="6" t="inlineStr">
        <is>
          <t>Critical</t>
        </is>
      </c>
      <c r="E25" s="6" t="inlineStr">
        <is>
          <t>K. Duarte</t>
        </is>
      </c>
      <c r="F25" s="9" t="inlineStr">
        <is>
          <t>2025-11-14</t>
        </is>
      </c>
      <c r="G25" s="9" t="inlineStr">
        <is>
          <t>2026-04-01</t>
        </is>
      </c>
      <c r="H25" s="6" t="inlineStr">
        <is>
          <t>Resolved</t>
        </is>
      </c>
    </row>
    <row r="26">
      <c r="A26" s="6" t="inlineStr">
        <is>
          <t>IS-0025</t>
        </is>
      </c>
      <c r="B26" s="6" t="inlineStr">
        <is>
          <t>PJ-017</t>
        </is>
      </c>
      <c r="C26" s="6" t="inlineStr">
        <is>
          <t>Counterpart has not confirmed the ratification timetable</t>
        </is>
      </c>
      <c r="D26" s="6" t="inlineStr">
        <is>
          <t>Low</t>
        </is>
      </c>
      <c r="E26" s="6" t="inlineStr">
        <is>
          <t>K. Duarte</t>
        </is>
      </c>
      <c r="F26" s="9" t="inlineStr">
        <is>
          <t>2025-11-07</t>
        </is>
      </c>
      <c r="G26" s="9" t="inlineStr">
        <is>
          <t>2025-12-11</t>
        </is>
      </c>
      <c r="H26" s="6" t="inlineStr">
        <is>
          <t>Open</t>
        </is>
      </c>
    </row>
    <row r="27">
      <c r="A27" s="6" t="inlineStr">
        <is>
          <t>IS-0026</t>
        </is>
      </c>
      <c r="B27" s="6" t="inlineStr">
        <is>
          <t>PJ-017</t>
        </is>
      </c>
      <c r="C27" s="6" t="inlineStr">
        <is>
          <t>Scope change requested without an identified funding source</t>
        </is>
      </c>
      <c r="D27" s="6" t="inlineStr">
        <is>
          <t>Low</t>
        </is>
      </c>
      <c r="E27" s="6" t="inlineStr">
        <is>
          <t>K. Duarte</t>
        </is>
      </c>
      <c r="F27" s="9" t="inlineStr">
        <is>
          <t>2026-05-29</t>
        </is>
      </c>
      <c r="G27" s="9" t="inlineStr">
        <is>
          <t>2026-10-24</t>
        </is>
      </c>
      <c r="H27" s="6" t="inlineStr">
        <is>
          <t>In Progress</t>
        </is>
      </c>
    </row>
    <row r="28">
      <c r="A28" s="6" t="inlineStr">
        <is>
          <t>IS-0027</t>
        </is>
      </c>
      <c r="B28" s="6" t="inlineStr">
        <is>
          <t>PJ-017</t>
        </is>
      </c>
      <c r="C28" s="6" t="inlineStr">
        <is>
          <t>Accuracy benchmark not met in evaluation testing</t>
        </is>
      </c>
      <c r="D28" s="6" t="inlineStr">
        <is>
          <t>Medium</t>
        </is>
      </c>
      <c r="E28" s="6" t="inlineStr">
        <is>
          <t>K. Duarte</t>
        </is>
      </c>
      <c r="F28" s="9" t="inlineStr">
        <is>
          <t>2026-04-14</t>
        </is>
      </c>
      <c r="G28" s="9" t="inlineStr">
        <is>
          <t>2026-08-11</t>
        </is>
      </c>
      <c r="H28" s="6" t="inlineStr">
        <is>
          <t>Open</t>
        </is>
      </c>
    </row>
    <row r="29">
      <c r="A29" s="6" t="inlineStr">
        <is>
          <t>IS-0028</t>
        </is>
      </c>
      <c r="B29" s="6" t="inlineStr">
        <is>
          <t>PJ-017</t>
        </is>
      </c>
      <c r="C29" s="6" t="inlineStr">
        <is>
          <t>Interministerial approval overdue from sponsoring department</t>
        </is>
      </c>
      <c r="D29" s="6" t="inlineStr">
        <is>
          <t>Medium</t>
        </is>
      </c>
      <c r="E29" s="6" t="inlineStr">
        <is>
          <t>K. Duarte</t>
        </is>
      </c>
      <c r="F29" s="9" t="inlineStr">
        <is>
          <t>2026-07-18</t>
        </is>
      </c>
      <c r="G29" s="9" t="inlineStr">
        <is>
          <t>2026-12-08</t>
        </is>
      </c>
      <c r="H29" s="6" t="inlineStr">
        <is>
          <t>In Progress</t>
        </is>
      </c>
    </row>
    <row r="30">
      <c r="A30" s="6" t="inlineStr">
        <is>
          <t>IS-0029</t>
        </is>
      </c>
      <c r="B30" s="6" t="inlineStr">
        <is>
          <t>PJ-017</t>
        </is>
      </c>
      <c r="C30" s="6" t="inlineStr">
        <is>
          <t>Vendor delivery slipped against contracted milestone</t>
        </is>
      </c>
      <c r="D30" s="6" t="inlineStr">
        <is>
          <t>Medium</t>
        </is>
      </c>
      <c r="E30" s="6" t="inlineStr">
        <is>
          <t>K. Duarte</t>
        </is>
      </c>
      <c r="F30" s="9" t="inlineStr">
        <is>
          <t>2026-05-11</t>
        </is>
      </c>
      <c r="G30" s="9" t="inlineStr">
        <is>
          <t>2026-08-04</t>
        </is>
      </c>
      <c r="H30" s="6" t="inlineStr">
        <is>
          <t>In Progress</t>
        </is>
      </c>
    </row>
    <row r="31">
      <c r="A31" s="6" t="inlineStr">
        <is>
          <t>IS-0030</t>
        </is>
      </c>
      <c r="B31" s="6" t="inlineStr">
        <is>
          <t>PJ-018</t>
        </is>
      </c>
      <c r="C31" s="6" t="inlineStr">
        <is>
          <t>Key technical lead resigned from the delivery squad</t>
        </is>
      </c>
      <c r="D31" s="6" t="inlineStr">
        <is>
          <t>Low</t>
        </is>
      </c>
      <c r="E31" s="6" t="inlineStr">
        <is>
          <t>K. Duarte</t>
        </is>
      </c>
      <c r="F31" s="9" t="inlineStr">
        <is>
          <t>2026-08-01</t>
        </is>
      </c>
      <c r="G31" s="9" t="inlineStr">
        <is>
          <t>2026-10-31</t>
        </is>
      </c>
      <c r="H31" s="6" t="inlineStr">
        <is>
          <t>Open</t>
        </is>
      </c>
    </row>
    <row r="32">
      <c r="A32" s="6" t="inlineStr">
        <is>
          <t>IS-0031</t>
        </is>
      </c>
      <c r="B32" s="6" t="inlineStr">
        <is>
          <t>PJ-018</t>
        </is>
      </c>
      <c r="C32" s="6" t="inlineStr">
        <is>
          <t>Vendor delivery slipped against contracted milestone</t>
        </is>
      </c>
      <c r="D32" s="6" t="inlineStr">
        <is>
          <t>Low</t>
        </is>
      </c>
      <c r="E32" s="6" t="inlineStr">
        <is>
          <t>K. Duarte</t>
        </is>
      </c>
      <c r="F32" s="9" t="inlineStr">
        <is>
          <t>2026-01-01</t>
        </is>
      </c>
      <c r="G32" s="9" t="inlineStr">
        <is>
          <t>2026-04-06</t>
        </is>
      </c>
      <c r="H32" s="6" t="inlineStr">
        <is>
          <t>In Progress</t>
        </is>
      </c>
    </row>
    <row r="33">
      <c r="A33" s="6" t="inlineStr">
        <is>
          <t>IS-0032</t>
        </is>
      </c>
      <c r="B33" s="6" t="inlineStr">
        <is>
          <t>PJ-018</t>
        </is>
      </c>
      <c r="C33" s="6" t="inlineStr">
        <is>
          <t>Defect backlog above agreed exit criteria</t>
        </is>
      </c>
      <c r="D33" s="6" t="inlineStr">
        <is>
          <t>Medium</t>
        </is>
      </c>
      <c r="E33" s="6" t="inlineStr">
        <is>
          <t>K. Duarte</t>
        </is>
      </c>
      <c r="F33" s="9" t="inlineStr">
        <is>
          <t>2025-11-18</t>
        </is>
      </c>
      <c r="G33" s="9" t="inlineStr">
        <is>
          <t>2026-02-20</t>
        </is>
      </c>
      <c r="H33" s="6" t="inlineStr">
        <is>
          <t>Open</t>
        </is>
      </c>
    </row>
    <row r="34">
      <c r="A34" s="6" t="inlineStr">
        <is>
          <t>IS-0033</t>
        </is>
      </c>
      <c r="B34" s="6" t="inlineStr">
        <is>
          <t>PJ-018</t>
        </is>
      </c>
      <c r="C34" s="6" t="inlineStr">
        <is>
          <t>Accuracy benchmark not met in evaluation testing</t>
        </is>
      </c>
      <c r="D34" s="6" t="inlineStr">
        <is>
          <t>High</t>
        </is>
      </c>
      <c r="E34" s="6" t="inlineStr">
        <is>
          <t>K. Duarte</t>
        </is>
      </c>
      <c r="F34" s="9" t="inlineStr">
        <is>
          <t>2025-11-01</t>
        </is>
      </c>
      <c r="G34" s="9" t="inlineStr">
        <is>
          <t>2025-12-07</t>
        </is>
      </c>
      <c r="H34" s="6" t="inlineStr">
        <is>
          <t>In Progress</t>
        </is>
      </c>
    </row>
    <row r="35">
      <c r="A35" s="6" t="inlineStr">
        <is>
          <t>IS-0034</t>
        </is>
      </c>
      <c r="B35" s="6" t="inlineStr">
        <is>
          <t>PJ-019</t>
        </is>
      </c>
      <c r="C35" s="6" t="inlineStr">
        <is>
          <t>Data sharing agreement rejected by the source authority</t>
        </is>
      </c>
      <c r="D35" s="6" t="inlineStr">
        <is>
          <t>Low</t>
        </is>
      </c>
      <c r="E35" s="6" t="inlineStr">
        <is>
          <t>T. Ivanova</t>
        </is>
      </c>
      <c r="F35" s="9" t="inlineStr">
        <is>
          <t>2025-11-03</t>
        </is>
      </c>
      <c r="G35" s="9" t="inlineStr">
        <is>
          <t>2026-03-15</t>
        </is>
      </c>
      <c r="H35" s="6" t="inlineStr">
        <is>
          <t>In Progress</t>
        </is>
      </c>
    </row>
    <row r="36">
      <c r="A36" s="6" t="inlineStr">
        <is>
          <t>IS-0035</t>
        </is>
      </c>
      <c r="B36" s="6" t="inlineStr">
        <is>
          <t>PJ-019</t>
        </is>
      </c>
      <c r="C36" s="6" t="inlineStr">
        <is>
          <t>Approved budget not yet released by treasury</t>
        </is>
      </c>
      <c r="D36" s="6" t="inlineStr">
        <is>
          <t>Medium</t>
        </is>
      </c>
      <c r="E36" s="6" t="inlineStr">
        <is>
          <t>T. Ivanova</t>
        </is>
      </c>
      <c r="F36" s="9" t="inlineStr">
        <is>
          <t>2026-05-26</t>
        </is>
      </c>
      <c r="G36" s="9" t="inlineStr">
        <is>
          <t>2026-08-07</t>
        </is>
      </c>
      <c r="H36" s="6" t="inlineStr">
        <is>
          <t>In Progress</t>
        </is>
      </c>
    </row>
    <row r="37">
      <c r="A37" s="6" t="inlineStr">
        <is>
          <t>IS-0036</t>
        </is>
      </c>
      <c r="B37" s="6" t="inlineStr">
        <is>
          <t>PJ-023</t>
        </is>
      </c>
      <c r="C37" s="6" t="inlineStr">
        <is>
          <t>Upstream dependency milestone missed by another programme</t>
        </is>
      </c>
      <c r="D37" s="6" t="inlineStr">
        <is>
          <t>Critical</t>
        </is>
      </c>
      <c r="E37" s="6" t="inlineStr">
        <is>
          <t>T. Ivanova</t>
        </is>
      </c>
      <c r="F37" s="9" t="inlineStr">
        <is>
          <t>2026-03-03</t>
        </is>
      </c>
      <c r="G37" s="9" t="inlineStr">
        <is>
          <t>2026-03-17</t>
        </is>
      </c>
      <c r="H37" s="6" t="inlineStr">
        <is>
          <t>Resolved</t>
        </is>
      </c>
    </row>
    <row r="38">
      <c r="A38" s="6" t="inlineStr">
        <is>
          <t>IS-0037</t>
        </is>
      </c>
      <c r="B38" s="6" t="inlineStr">
        <is>
          <t>PJ-023</t>
        </is>
      </c>
      <c r="C38" s="6" t="inlineStr">
        <is>
          <t>Site access delayed pending safety clearance</t>
        </is>
      </c>
      <c r="D38" s="6" t="inlineStr">
        <is>
          <t>Medium</t>
        </is>
      </c>
      <c r="E38" s="6" t="inlineStr">
        <is>
          <t>T. Ivanova</t>
        </is>
      </c>
      <c r="F38" s="9" t="inlineStr">
        <is>
          <t>2026-05-15</t>
        </is>
      </c>
      <c r="G38" s="9" t="inlineStr">
        <is>
          <t>2026-06-17</t>
        </is>
      </c>
      <c r="H38" s="6" t="inlineStr">
        <is>
          <t>Open</t>
        </is>
      </c>
    </row>
    <row r="39">
      <c r="A39" s="6" t="inlineStr">
        <is>
          <t>IS-0038</t>
        </is>
      </c>
      <c r="B39" s="6" t="inlineStr">
        <is>
          <t>PJ-023</t>
        </is>
      </c>
      <c r="C39" s="6" t="inlineStr">
        <is>
          <t>Scope change requested without an identified funding source</t>
        </is>
      </c>
      <c r="D39" s="6" t="inlineStr">
        <is>
          <t>High</t>
        </is>
      </c>
      <c r="E39" s="6" t="inlineStr">
        <is>
          <t>T. Ivanova</t>
        </is>
      </c>
      <c r="F39" s="9" t="inlineStr">
        <is>
          <t>2026-02-05</t>
        </is>
      </c>
      <c r="G39" s="9" t="inlineStr">
        <is>
          <t>2026-06-01</t>
        </is>
      </c>
      <c r="H39" s="6" t="inlineStr">
        <is>
          <t>Open</t>
        </is>
      </c>
    </row>
    <row r="40">
      <c r="A40" s="6" t="inlineStr">
        <is>
          <t>IS-0039</t>
        </is>
      </c>
      <c r="B40" s="6" t="inlineStr">
        <is>
          <t>PJ-023</t>
        </is>
      </c>
      <c r="C40" s="6" t="inlineStr">
        <is>
          <t>Key technical lead resigned from the delivery squad</t>
        </is>
      </c>
      <c r="D40" s="6" t="inlineStr">
        <is>
          <t>Medium</t>
        </is>
      </c>
      <c r="E40" s="6" t="inlineStr">
        <is>
          <t>T. Ivanova</t>
        </is>
      </c>
      <c r="F40" s="9" t="inlineStr">
        <is>
          <t>2026-05-16</t>
        </is>
      </c>
      <c r="G40" s="9" t="inlineStr">
        <is>
          <t>2026-06-03</t>
        </is>
      </c>
      <c r="H40" s="6" t="inlineStr">
        <is>
          <t>Open</t>
        </is>
      </c>
    </row>
    <row r="41">
      <c r="A41" s="6" t="inlineStr">
        <is>
          <t>IS-0040</t>
        </is>
      </c>
      <c r="B41" s="6" t="inlineStr">
        <is>
          <t>PJ-023</t>
        </is>
      </c>
      <c r="C41" s="6" t="inlineStr">
        <is>
          <t>Approved budget not yet released by treasury</t>
        </is>
      </c>
      <c r="D41" s="6" t="inlineStr">
        <is>
          <t>Critical</t>
        </is>
      </c>
      <c r="E41" s="6" t="inlineStr">
        <is>
          <t>T. Ivanova</t>
        </is>
      </c>
      <c r="F41" s="9" t="inlineStr">
        <is>
          <t>2026-06-25</t>
        </is>
      </c>
      <c r="G41" s="9" t="inlineStr">
        <is>
          <t>2026-07-13</t>
        </is>
      </c>
      <c r="H41" s="6" t="inlineStr">
        <is>
          <t>Resolved</t>
        </is>
      </c>
    </row>
    <row r="42">
      <c r="A42" s="6" t="inlineStr">
        <is>
          <t>IS-0041</t>
        </is>
      </c>
      <c r="B42" s="6" t="inlineStr">
        <is>
          <t>PJ-024</t>
        </is>
      </c>
      <c r="C42" s="6" t="inlineStr">
        <is>
          <t>Site access delayed pending safety clearance</t>
        </is>
      </c>
      <c r="D42" s="6" t="inlineStr">
        <is>
          <t>High</t>
        </is>
      </c>
      <c r="E42" s="6" t="inlineStr">
        <is>
          <t>H. Lindqvist</t>
        </is>
      </c>
      <c r="F42" s="9" t="inlineStr">
        <is>
          <t>2025-10-30</t>
        </is>
      </c>
      <c r="G42" s="9" t="inlineStr">
        <is>
          <t>2026-02-05</t>
        </is>
      </c>
      <c r="H42" s="6" t="inlineStr">
        <is>
          <t>In Progress</t>
        </is>
      </c>
    </row>
    <row r="43">
      <c r="A43" s="6" t="inlineStr">
        <is>
          <t>IS-0042</t>
        </is>
      </c>
      <c r="B43" s="6" t="inlineStr">
        <is>
          <t>PJ-024</t>
        </is>
      </c>
      <c r="C43" s="6" t="inlineStr">
        <is>
          <t>Approved budget not yet released by treasury</t>
        </is>
      </c>
      <c r="D43" s="6" t="inlineStr">
        <is>
          <t>Low</t>
        </is>
      </c>
      <c r="E43" s="6" t="inlineStr">
        <is>
          <t>H. Lindqvist</t>
        </is>
      </c>
      <c r="F43" s="9" t="inlineStr">
        <is>
          <t>2025-11-12</t>
        </is>
      </c>
      <c r="G43" s="9" t="inlineStr">
        <is>
          <t>2026-02-03</t>
        </is>
      </c>
      <c r="H43" s="6" t="inlineStr">
        <is>
          <t>Resolved</t>
        </is>
      </c>
    </row>
    <row r="44">
      <c r="A44" s="6" t="inlineStr">
        <is>
          <t>IS-0043</t>
        </is>
      </c>
      <c r="B44" s="6" t="inlineStr">
        <is>
          <t>PJ-024</t>
        </is>
      </c>
      <c r="C44" s="6" t="inlineStr">
        <is>
          <t>Counterpart has not confirmed the ratification timetable</t>
        </is>
      </c>
      <c r="D44" s="6" t="inlineStr">
        <is>
          <t>High</t>
        </is>
      </c>
      <c r="E44" s="6" t="inlineStr">
        <is>
          <t>H. Lindqvist</t>
        </is>
      </c>
      <c r="F44" s="9" t="inlineStr">
        <is>
          <t>2025-11-12</t>
        </is>
      </c>
      <c r="G44" s="9" t="inlineStr">
        <is>
          <t>2025-12-19</t>
        </is>
      </c>
      <c r="H44" s="6" t="inlineStr">
        <is>
          <t>In Progress</t>
        </is>
      </c>
    </row>
    <row r="45">
      <c r="A45" s="6" t="inlineStr">
        <is>
          <t>IS-0044</t>
        </is>
      </c>
      <c r="B45" s="6" t="inlineStr">
        <is>
          <t>PJ-024</t>
        </is>
      </c>
      <c r="C45" s="6" t="inlineStr">
        <is>
          <t>Environment unavailable since the last platform release</t>
        </is>
      </c>
      <c r="D45" s="6" t="inlineStr">
        <is>
          <t>Medium</t>
        </is>
      </c>
      <c r="E45" s="6" t="inlineStr">
        <is>
          <t>H. Lindqvist</t>
        </is>
      </c>
      <c r="F45" s="9" t="inlineStr">
        <is>
          <t>2025-12-26</t>
        </is>
      </c>
      <c r="G45" s="9" t="inlineStr">
        <is>
          <t>2026-01-17</t>
        </is>
      </c>
      <c r="H45" s="6" t="inlineStr">
        <is>
          <t>Open</t>
        </is>
      </c>
    </row>
    <row r="46">
      <c r="A46" s="6" t="inlineStr">
        <is>
          <t>IS-0045</t>
        </is>
      </c>
      <c r="B46" s="6" t="inlineStr">
        <is>
          <t>PJ-026</t>
        </is>
      </c>
      <c r="C46" s="6" t="inlineStr">
        <is>
          <t>Contractor claim in dispute, blocking milestone certification</t>
        </is>
      </c>
      <c r="D46" s="6" t="inlineStr">
        <is>
          <t>Medium</t>
        </is>
      </c>
      <c r="E46" s="6" t="inlineStr">
        <is>
          <t>H. Lindqvist</t>
        </is>
      </c>
      <c r="F46" s="9" t="inlineStr">
        <is>
          <t>2026-04-07</t>
        </is>
      </c>
      <c r="G46" s="9" t="inlineStr">
        <is>
          <t>2026-07-10</t>
        </is>
      </c>
      <c r="H46" s="6" t="inlineStr">
        <is>
          <t>In Progress</t>
        </is>
      </c>
    </row>
    <row r="47">
      <c r="A47" s="6" t="inlineStr">
        <is>
          <t>IS-0046</t>
        </is>
      </c>
      <c r="B47" s="6" t="inlineStr">
        <is>
          <t>PJ-026</t>
        </is>
      </c>
      <c r="C47" s="6" t="inlineStr">
        <is>
          <t>Environment unavailable since the last platform release</t>
        </is>
      </c>
      <c r="D47" s="6" t="inlineStr">
        <is>
          <t>Medium</t>
        </is>
      </c>
      <c r="E47" s="6" t="inlineStr">
        <is>
          <t>H. Lindqvist</t>
        </is>
      </c>
      <c r="F47" s="9" t="inlineStr">
        <is>
          <t>2026-05-28</t>
        </is>
      </c>
      <c r="G47" s="9" t="inlineStr">
        <is>
          <t>2026-10-01</t>
        </is>
      </c>
      <c r="H47" s="6" t="inlineStr">
        <is>
          <t>Open</t>
        </is>
      </c>
    </row>
    <row r="48">
      <c r="A48" s="6" t="inlineStr">
        <is>
          <t>IS-0047</t>
        </is>
      </c>
      <c r="B48" s="6" t="inlineStr">
        <is>
          <t>PJ-026</t>
        </is>
      </c>
      <c r="C48" s="6" t="inlineStr">
        <is>
          <t>Key technical lead resigned from the delivery squad</t>
        </is>
      </c>
      <c r="D48" s="6" t="inlineStr">
        <is>
          <t>Medium</t>
        </is>
      </c>
      <c r="E48" s="6" t="inlineStr">
        <is>
          <t>H. Lindqvist</t>
        </is>
      </c>
      <c r="F48" s="9" t="inlineStr">
        <is>
          <t>2026-04-09</t>
        </is>
      </c>
      <c r="G48" s="9" t="inlineStr">
        <is>
          <t>2026-05-05</t>
        </is>
      </c>
      <c r="H48" s="6" t="inlineStr">
        <is>
          <t>In Progress</t>
        </is>
      </c>
    </row>
    <row r="49">
      <c r="A49" s="6" t="inlineStr">
        <is>
          <t>IS-0048</t>
        </is>
      </c>
      <c r="B49" s="6" t="inlineStr">
        <is>
          <t>PJ-030</t>
        </is>
      </c>
      <c r="C49" s="6" t="inlineStr">
        <is>
          <t>Accuracy benchmark not met in evaluation testing</t>
        </is>
      </c>
      <c r="D49" s="6" t="inlineStr">
        <is>
          <t>Critical</t>
        </is>
      </c>
      <c r="E49" s="6" t="inlineStr">
        <is>
          <t>J. Alvarez</t>
        </is>
      </c>
      <c r="F49" s="9" t="inlineStr">
        <is>
          <t>2026-01-16</t>
        </is>
      </c>
      <c r="G49" s="9" t="inlineStr">
        <is>
          <t>2026-03-18</t>
        </is>
      </c>
      <c r="H49" s="6" t="inlineStr">
        <is>
          <t>In Progress</t>
        </is>
      </c>
    </row>
    <row r="50">
      <c r="A50" s="6" t="inlineStr">
        <is>
          <t>IS-0049</t>
        </is>
      </c>
      <c r="B50" s="6" t="inlineStr">
        <is>
          <t>PJ-030</t>
        </is>
      </c>
      <c r="C50" s="6" t="inlineStr">
        <is>
          <t>Upstream dependency milestone missed by another programme</t>
        </is>
      </c>
      <c r="D50" s="6" t="inlineStr">
        <is>
          <t>High</t>
        </is>
      </c>
      <c r="E50" s="6" t="inlineStr">
        <is>
          <t>J. Alvarez</t>
        </is>
      </c>
      <c r="F50" s="9" t="inlineStr">
        <is>
          <t>2026-01-14</t>
        </is>
      </c>
      <c r="G50" s="9" t="inlineStr">
        <is>
          <t>2026-05-27</t>
        </is>
      </c>
      <c r="H50" s="6" t="inlineStr">
        <is>
          <t>Resolved</t>
        </is>
      </c>
    </row>
    <row r="51">
      <c r="A51" s="6" t="inlineStr">
        <is>
          <t>IS-0050</t>
        </is>
      </c>
      <c r="B51" s="6" t="inlineStr">
        <is>
          <t>PJ-030</t>
        </is>
      </c>
      <c r="C51" s="6" t="inlineStr">
        <is>
          <t>Approved budget not yet released by treasury</t>
        </is>
      </c>
      <c r="D51" s="6" t="inlineStr">
        <is>
          <t>Medium</t>
        </is>
      </c>
      <c r="E51" s="6" t="inlineStr">
        <is>
          <t>J. Alvarez</t>
        </is>
      </c>
      <c r="F51" s="9" t="inlineStr">
        <is>
          <t>2026-04-19</t>
        </is>
      </c>
      <c r="G51" s="9" t="inlineStr">
        <is>
          <t>2026-06-22</t>
        </is>
      </c>
      <c r="H51" s="6" t="inlineStr">
        <is>
          <t>In Progress</t>
        </is>
      </c>
    </row>
    <row r="52">
      <c r="A52" s="6" t="inlineStr">
        <is>
          <t>IS-0051</t>
        </is>
      </c>
      <c r="B52" s="6" t="inlineStr">
        <is>
          <t>PJ-030</t>
        </is>
      </c>
      <c r="C52" s="6" t="inlineStr">
        <is>
          <t>Contractor claim in dispute, blocking milestone certification</t>
        </is>
      </c>
      <c r="D52" s="6" t="inlineStr">
        <is>
          <t>Medium</t>
        </is>
      </c>
      <c r="E52" s="6" t="inlineStr">
        <is>
          <t>J. Alvarez</t>
        </is>
      </c>
      <c r="F52" s="9" t="inlineStr">
        <is>
          <t>2026-06-26</t>
        </is>
      </c>
      <c r="G52" s="9" t="inlineStr">
        <is>
          <t>2026-09-02</t>
        </is>
      </c>
      <c r="H52" s="6" t="inlineStr">
        <is>
          <t>In Progress</t>
        </is>
      </c>
    </row>
    <row r="53">
      <c r="A53" s="6" t="inlineStr">
        <is>
          <t>IS-0052</t>
        </is>
      </c>
      <c r="B53" s="6" t="inlineStr">
        <is>
          <t>PJ-030</t>
        </is>
      </c>
      <c r="C53" s="6" t="inlineStr">
        <is>
          <t>Key technical lead resigned from the delivery squad</t>
        </is>
      </c>
      <c r="D53" s="6" t="inlineStr">
        <is>
          <t>Medium</t>
        </is>
      </c>
      <c r="E53" s="6" t="inlineStr">
        <is>
          <t>J. Alvarez</t>
        </is>
      </c>
      <c r="F53" s="9" t="inlineStr">
        <is>
          <t>2026-07-03</t>
        </is>
      </c>
      <c r="G53" s="9" t="inlineStr">
        <is>
          <t>2026-08-27</t>
        </is>
      </c>
      <c r="H53" s="6" t="inlineStr">
        <is>
          <t>In Progress</t>
        </is>
      </c>
    </row>
    <row r="54">
      <c r="A54" s="6" t="inlineStr">
        <is>
          <t>IS-0053</t>
        </is>
      </c>
      <c r="B54" s="6" t="inlineStr">
        <is>
          <t>PJ-036</t>
        </is>
      </c>
      <c r="C54" s="6" t="inlineStr">
        <is>
          <t>Accuracy benchmark not met in evaluation testing</t>
        </is>
      </c>
      <c r="D54" s="6" t="inlineStr">
        <is>
          <t>Medium</t>
        </is>
      </c>
      <c r="E54" s="6" t="inlineStr">
        <is>
          <t>C. Nwosu</t>
        </is>
      </c>
      <c r="F54" s="9" t="inlineStr">
        <is>
          <t>2026-01-06</t>
        </is>
      </c>
      <c r="G54" s="9" t="inlineStr">
        <is>
          <t>2026-02-16</t>
        </is>
      </c>
      <c r="H54" s="6" t="inlineStr">
        <is>
          <t>Open</t>
        </is>
      </c>
    </row>
    <row r="55">
      <c r="A55" s="6" t="inlineStr">
        <is>
          <t>IS-0054</t>
        </is>
      </c>
      <c r="B55" s="6" t="inlineStr">
        <is>
          <t>PJ-037</t>
        </is>
      </c>
      <c r="C55" s="6" t="inlineStr">
        <is>
          <t>Upstream dependency milestone missed by another programme</t>
        </is>
      </c>
      <c r="D55" s="6" t="inlineStr">
        <is>
          <t>High</t>
        </is>
      </c>
      <c r="E55" s="6" t="inlineStr">
        <is>
          <t>C. Nwosu</t>
        </is>
      </c>
      <c r="F55" s="9" t="inlineStr">
        <is>
          <t>2026-02-12</t>
        </is>
      </c>
      <c r="G55" s="9" t="inlineStr">
        <is>
          <t>2026-05-07</t>
        </is>
      </c>
      <c r="H55" s="6" t="inlineStr">
        <is>
          <t>Open</t>
        </is>
      </c>
    </row>
    <row r="56">
      <c r="A56" s="6" t="inlineStr">
        <is>
          <t>IS-0055</t>
        </is>
      </c>
      <c r="B56" s="6" t="inlineStr">
        <is>
          <t>PJ-037</t>
        </is>
      </c>
      <c r="C56" s="6" t="inlineStr">
        <is>
          <t>Scope change requested without an identified funding source</t>
        </is>
      </c>
      <c r="D56" s="6" t="inlineStr">
        <is>
          <t>Medium</t>
        </is>
      </c>
      <c r="E56" s="6" t="inlineStr">
        <is>
          <t>C. Nwosu</t>
        </is>
      </c>
      <c r="F56" s="9" t="inlineStr">
        <is>
          <t>2025-11-19</t>
        </is>
      </c>
      <c r="G56" s="9" t="inlineStr">
        <is>
          <t>2026-04-05</t>
        </is>
      </c>
      <c r="H56" s="6" t="inlineStr">
        <is>
          <t>Resolved</t>
        </is>
      </c>
    </row>
    <row r="57">
      <c r="A57" s="6" t="inlineStr">
        <is>
          <t>IS-0056</t>
        </is>
      </c>
      <c r="B57" s="6" t="inlineStr">
        <is>
          <t>PJ-037</t>
        </is>
      </c>
      <c r="C57" s="6" t="inlineStr">
        <is>
          <t>Security review raised findings blocking accreditation</t>
        </is>
      </c>
      <c r="D57" s="6" t="inlineStr">
        <is>
          <t>Low</t>
        </is>
      </c>
      <c r="E57" s="6" t="inlineStr">
        <is>
          <t>C. Nwosu</t>
        </is>
      </c>
      <c r="F57" s="9" t="inlineStr">
        <is>
          <t>2026-08-07</t>
        </is>
      </c>
      <c r="G57" s="9" t="inlineStr">
        <is>
          <t>2026-09-11</t>
        </is>
      </c>
      <c r="H57" s="6" t="inlineStr">
        <is>
          <t>Resolved</t>
        </is>
      </c>
    </row>
    <row r="58">
      <c r="A58" s="6" t="inlineStr">
        <is>
          <t>IS-0057</t>
        </is>
      </c>
      <c r="B58" s="6" t="inlineStr">
        <is>
          <t>PJ-037</t>
        </is>
      </c>
      <c r="C58" s="6" t="inlineStr">
        <is>
          <t>Interministerial approval overdue from sponsoring department</t>
        </is>
      </c>
      <c r="D58" s="6" t="inlineStr">
        <is>
          <t>Critical</t>
        </is>
      </c>
      <c r="E58" s="6" t="inlineStr">
        <is>
          <t>C. Nwosu</t>
        </is>
      </c>
      <c r="F58" s="9" t="inlineStr">
        <is>
          <t>2026-03-19</t>
        </is>
      </c>
      <c r="G58" s="9" t="inlineStr">
        <is>
          <t>2026-07-10</t>
        </is>
      </c>
      <c r="H58" s="6" t="inlineStr">
        <is>
          <t>In Progress</t>
        </is>
      </c>
    </row>
    <row r="59">
      <c r="A59" s="6" t="inlineStr">
        <is>
          <t>IS-0058</t>
        </is>
      </c>
      <c r="B59" s="6" t="inlineStr">
        <is>
          <t>PJ-038</t>
        </is>
      </c>
      <c r="C59" s="6" t="inlineStr">
        <is>
          <t>Interministerial approval overdue from sponsoring department</t>
        </is>
      </c>
      <c r="D59" s="6" t="inlineStr">
        <is>
          <t>Medium</t>
        </is>
      </c>
      <c r="E59" s="6" t="inlineStr">
        <is>
          <t>C. Nwosu</t>
        </is>
      </c>
      <c r="F59" s="9" t="inlineStr">
        <is>
          <t>2026-06-09</t>
        </is>
      </c>
      <c r="G59" s="9" t="inlineStr">
        <is>
          <t>2026-07-23</t>
        </is>
      </c>
      <c r="H59" s="6" t="inlineStr">
        <is>
          <t>Resolved</t>
        </is>
      </c>
    </row>
    <row r="60">
      <c r="A60" s="6" t="inlineStr">
        <is>
          <t>IS-0059</t>
        </is>
      </c>
      <c r="B60" s="6" t="inlineStr">
        <is>
          <t>PJ-038</t>
        </is>
      </c>
      <c r="C60" s="6" t="inlineStr">
        <is>
          <t>Accuracy benchmark not met in evaluation testing</t>
        </is>
      </c>
      <c r="D60" s="6" t="inlineStr">
        <is>
          <t>High</t>
        </is>
      </c>
      <c r="E60" s="6" t="inlineStr">
        <is>
          <t>C. Nwosu</t>
        </is>
      </c>
      <c r="F60" s="9" t="inlineStr">
        <is>
          <t>2025-12-19</t>
        </is>
      </c>
      <c r="G60" s="9" t="inlineStr">
        <is>
          <t>2026-04-30</t>
        </is>
      </c>
      <c r="H60" s="6" t="inlineStr">
        <is>
          <t>Open</t>
        </is>
      </c>
    </row>
    <row r="61">
      <c r="A61" s="6" t="inlineStr">
        <is>
          <t>IS-0060</t>
        </is>
      </c>
      <c r="B61" s="6" t="inlineStr">
        <is>
          <t>PJ-038</t>
        </is>
      </c>
      <c r="C61" s="6" t="inlineStr">
        <is>
          <t>Environment unavailable since the last platform release</t>
        </is>
      </c>
      <c r="D61" s="6" t="inlineStr">
        <is>
          <t>High</t>
        </is>
      </c>
      <c r="E61" s="6" t="inlineStr">
        <is>
          <t>C. Nwosu</t>
        </is>
      </c>
      <c r="F61" s="9" t="inlineStr">
        <is>
          <t>2026-02-10</t>
        </is>
      </c>
      <c r="G61" s="9" t="inlineStr">
        <is>
          <t>2026-06-16</t>
        </is>
      </c>
      <c r="H61" s="6" t="inlineStr">
        <is>
          <t>Open</t>
        </is>
      </c>
    </row>
    <row r="62">
      <c r="A62" s="6" t="inlineStr">
        <is>
          <t>IS-0061</t>
        </is>
      </c>
      <c r="B62" s="6" t="inlineStr">
        <is>
          <t>PJ-041</t>
        </is>
      </c>
      <c r="C62" s="6" t="inlineStr">
        <is>
          <t>Counterpart has not confirmed the ratification timetable</t>
        </is>
      </c>
      <c r="D62" s="6" t="inlineStr">
        <is>
          <t>Medium</t>
        </is>
      </c>
      <c r="E62" s="6" t="inlineStr">
        <is>
          <t>N. Haddad</t>
        </is>
      </c>
      <c r="F62" s="9" t="inlineStr">
        <is>
          <t>2025-12-18</t>
        </is>
      </c>
      <c r="G62" s="9" t="inlineStr">
        <is>
          <t>2026-03-07</t>
        </is>
      </c>
      <c r="H62" s="6" t="inlineStr">
        <is>
          <t>Open</t>
        </is>
      </c>
    </row>
    <row r="63">
      <c r="A63" s="6" t="inlineStr">
        <is>
          <t>IS-0062</t>
        </is>
      </c>
      <c r="B63" s="6" t="inlineStr">
        <is>
          <t>PJ-042</t>
        </is>
      </c>
      <c r="C63" s="6" t="inlineStr">
        <is>
          <t>Contractor claim in dispute, blocking milestone certification</t>
        </is>
      </c>
      <c r="D63" s="6" t="inlineStr">
        <is>
          <t>Medium</t>
        </is>
      </c>
      <c r="E63" s="6" t="inlineStr">
        <is>
          <t>N. Haddad</t>
        </is>
      </c>
      <c r="F63" s="9" t="inlineStr">
        <is>
          <t>2026-05-22</t>
        </is>
      </c>
      <c r="G63" s="9" t="inlineStr">
        <is>
          <t>2026-06-13</t>
        </is>
      </c>
      <c r="H63" s="6" t="inlineStr">
        <is>
          <t>Open</t>
        </is>
      </c>
    </row>
    <row r="64">
      <c r="A64" s="6" t="inlineStr">
        <is>
          <t>IS-0063</t>
        </is>
      </c>
      <c r="B64" s="6" t="inlineStr">
        <is>
          <t>PJ-042</t>
        </is>
      </c>
      <c r="C64" s="6" t="inlineStr">
        <is>
          <t>Scope change requested without an identified funding source</t>
        </is>
      </c>
      <c r="D64" s="6" t="inlineStr">
        <is>
          <t>Critical</t>
        </is>
      </c>
      <c r="E64" s="6" t="inlineStr">
        <is>
          <t>N. Haddad</t>
        </is>
      </c>
      <c r="F64" s="9" t="inlineStr">
        <is>
          <t>2026-03-28</t>
        </is>
      </c>
      <c r="G64" s="9" t="inlineStr">
        <is>
          <t>2026-08-11</t>
        </is>
      </c>
      <c r="H64" s="6" t="inlineStr">
        <is>
          <t>Resolved</t>
        </is>
      </c>
    </row>
    <row r="65">
      <c r="A65" s="6" t="inlineStr">
        <is>
          <t>IS-0064</t>
        </is>
      </c>
      <c r="B65" s="6" t="inlineStr">
        <is>
          <t>PJ-042</t>
        </is>
      </c>
      <c r="C65" s="6" t="inlineStr">
        <is>
          <t>Site access delayed pending safety clearance</t>
        </is>
      </c>
      <c r="D65" s="6" t="inlineStr">
        <is>
          <t>Low</t>
        </is>
      </c>
      <c r="E65" s="6" t="inlineStr">
        <is>
          <t>N. Haddad</t>
        </is>
      </c>
      <c r="F65" s="9" t="inlineStr">
        <is>
          <t>2026-07-09</t>
        </is>
      </c>
      <c r="G65" s="9" t="inlineStr">
        <is>
          <t>2026-07-26</t>
        </is>
      </c>
      <c r="H65" s="6" t="inlineStr">
        <is>
          <t>Resolved</t>
        </is>
      </c>
    </row>
    <row r="66">
      <c r="A66" s="6" t="inlineStr">
        <is>
          <t>IS-0065</t>
        </is>
      </c>
      <c r="B66" s="6" t="inlineStr">
        <is>
          <t>PJ-043</t>
        </is>
      </c>
      <c r="C66" s="6" t="inlineStr">
        <is>
          <t>Vendor delivery slipped against contracted milestone</t>
        </is>
      </c>
      <c r="D66" s="6" t="inlineStr">
        <is>
          <t>Low</t>
        </is>
      </c>
      <c r="E66" s="6" t="inlineStr">
        <is>
          <t>N. Haddad</t>
        </is>
      </c>
      <c r="F66" s="9" t="inlineStr">
        <is>
          <t>2026-05-17</t>
        </is>
      </c>
      <c r="G66" s="9" t="inlineStr">
        <is>
          <t>2026-08-09</t>
        </is>
      </c>
      <c r="H66" s="6" t="inlineStr">
        <is>
          <t>Open</t>
        </is>
      </c>
    </row>
    <row r="67">
      <c r="A67" s="6" t="inlineStr">
        <is>
          <t>IS-0066</t>
        </is>
      </c>
      <c r="B67" s="6" t="inlineStr">
        <is>
          <t>PJ-043</t>
        </is>
      </c>
      <c r="C67" s="6" t="inlineStr">
        <is>
          <t>Environment unavailable since the last platform release</t>
        </is>
      </c>
      <c r="D67" s="6" t="inlineStr">
        <is>
          <t>Critical</t>
        </is>
      </c>
      <c r="E67" s="6" t="inlineStr">
        <is>
          <t>N. Haddad</t>
        </is>
      </c>
      <c r="F67" s="9" t="inlineStr">
        <is>
          <t>2026-08-02</t>
        </is>
      </c>
      <c r="G67" s="9" t="inlineStr">
        <is>
          <t>2026-10-30</t>
        </is>
      </c>
      <c r="H67" s="6" t="inlineStr">
        <is>
          <t>Open</t>
        </is>
      </c>
    </row>
    <row r="68">
      <c r="A68" s="6" t="inlineStr">
        <is>
          <t>IS-0067</t>
        </is>
      </c>
      <c r="B68" s="6" t="inlineStr">
        <is>
          <t>PJ-043</t>
        </is>
      </c>
      <c r="C68" s="6" t="inlineStr">
        <is>
          <t>Contractor claim in dispute, blocking milestone certification</t>
        </is>
      </c>
      <c r="D68" s="6" t="inlineStr">
        <is>
          <t>Low</t>
        </is>
      </c>
      <c r="E68" s="6" t="inlineStr">
        <is>
          <t>N. Haddad</t>
        </is>
      </c>
      <c r="F68" s="9" t="inlineStr">
        <is>
          <t>2026-06-15</t>
        </is>
      </c>
      <c r="G68" s="9" t="inlineStr">
        <is>
          <t>2026-09-02</t>
        </is>
      </c>
      <c r="H68" s="6" t="inlineStr">
        <is>
          <t>Open</t>
        </is>
      </c>
    </row>
    <row r="69">
      <c r="A69" s="6" t="inlineStr">
        <is>
          <t>IS-0068</t>
        </is>
      </c>
      <c r="B69" s="6" t="inlineStr">
        <is>
          <t>PJ-043</t>
        </is>
      </c>
      <c r="C69" s="6" t="inlineStr">
        <is>
          <t>Approved budget not yet released by treasury</t>
        </is>
      </c>
      <c r="D69" s="6" t="inlineStr">
        <is>
          <t>Medium</t>
        </is>
      </c>
      <c r="E69" s="6" t="inlineStr">
        <is>
          <t>N. Haddad</t>
        </is>
      </c>
      <c r="F69" s="9" t="inlineStr">
        <is>
          <t>2025-11-05</t>
        </is>
      </c>
      <c r="G69" s="9" t="inlineStr">
        <is>
          <t>2025-12-25</t>
        </is>
      </c>
      <c r="H69" s="6" t="inlineStr">
        <is>
          <t>Resolved</t>
        </is>
      </c>
    </row>
    <row r="70">
      <c r="A70" s="6" t="inlineStr">
        <is>
          <t>IS-0069</t>
        </is>
      </c>
      <c r="B70" s="6" t="inlineStr">
        <is>
          <t>PJ-043</t>
        </is>
      </c>
      <c r="C70" s="6" t="inlineStr">
        <is>
          <t>Defect backlog above agreed exit criteria</t>
        </is>
      </c>
      <c r="D70" s="6" t="inlineStr">
        <is>
          <t>High</t>
        </is>
      </c>
      <c r="E70" s="6" t="inlineStr">
        <is>
          <t>N. Haddad</t>
        </is>
      </c>
      <c r="F70" s="9" t="inlineStr">
        <is>
          <t>2026-06-03</t>
        </is>
      </c>
      <c r="G70" s="9" t="inlineStr">
        <is>
          <t>2026-09-30</t>
        </is>
      </c>
      <c r="H70" s="6" t="inlineStr">
        <is>
          <t>In Progress</t>
        </is>
      </c>
    </row>
    <row r="71">
      <c r="A71" s="6" t="inlineStr">
        <is>
          <t>IS-0070</t>
        </is>
      </c>
      <c r="B71" s="6" t="inlineStr">
        <is>
          <t>PJ-044</t>
        </is>
      </c>
      <c r="C71" s="6" t="inlineStr">
        <is>
          <t>Vendor delivery slipped against contracted milestone</t>
        </is>
      </c>
      <c r="D71" s="6" t="inlineStr">
        <is>
          <t>Medium</t>
        </is>
      </c>
      <c r="E71" s="6" t="inlineStr">
        <is>
          <t>N. Haddad</t>
        </is>
      </c>
      <c r="F71" s="9" t="inlineStr">
        <is>
          <t>2026-08-02</t>
        </is>
      </c>
      <c r="G71" s="9" t="inlineStr">
        <is>
          <t>2026-11-06</t>
        </is>
      </c>
      <c r="H71" s="6" t="inlineStr">
        <is>
          <t>Open</t>
        </is>
      </c>
    </row>
    <row r="72">
      <c r="A72" s="6" t="inlineStr">
        <is>
          <t>IS-0071</t>
        </is>
      </c>
      <c r="B72" s="6" t="inlineStr">
        <is>
          <t>PJ-044</t>
        </is>
      </c>
      <c r="C72" s="6" t="inlineStr">
        <is>
          <t>Defect backlog above agreed exit criteria</t>
        </is>
      </c>
      <c r="D72" s="6" t="inlineStr">
        <is>
          <t>Low</t>
        </is>
      </c>
      <c r="E72" s="6" t="inlineStr">
        <is>
          <t>N. Haddad</t>
        </is>
      </c>
      <c r="F72" s="9" t="inlineStr">
        <is>
          <t>2026-05-08</t>
        </is>
      </c>
      <c r="G72" s="9" t="inlineStr">
        <is>
          <t>2026-08-21</t>
        </is>
      </c>
      <c r="H72" s="6" t="inlineStr">
        <is>
          <t>In Progress</t>
        </is>
      </c>
    </row>
    <row r="73">
      <c r="A73" s="6" t="inlineStr">
        <is>
          <t>IS-0072</t>
        </is>
      </c>
      <c r="B73" s="6" t="inlineStr">
        <is>
          <t>PJ-045</t>
        </is>
      </c>
      <c r="C73" s="6" t="inlineStr">
        <is>
          <t>Security review raised findings blocking accreditation</t>
        </is>
      </c>
      <c r="D73" s="6" t="inlineStr">
        <is>
          <t>Low</t>
        </is>
      </c>
      <c r="E73" s="6" t="inlineStr">
        <is>
          <t>Dr. F. Rossi</t>
        </is>
      </c>
      <c r="F73" s="9" t="inlineStr">
        <is>
          <t>2026-04-21</t>
        </is>
      </c>
      <c r="G73" s="9" t="inlineStr">
        <is>
          <t>2026-06-29</t>
        </is>
      </c>
      <c r="H73" s="6" t="inlineStr">
        <is>
          <t>In Progress</t>
        </is>
      </c>
    </row>
    <row r="74">
      <c r="A74" s="6" t="inlineStr">
        <is>
          <t>IS-0073</t>
        </is>
      </c>
      <c r="B74" s="6" t="inlineStr">
        <is>
          <t>PJ-045</t>
        </is>
      </c>
      <c r="C74" s="6" t="inlineStr">
        <is>
          <t>Contractor claim in dispute, blocking milestone certification</t>
        </is>
      </c>
      <c r="D74" s="6" t="inlineStr">
        <is>
          <t>Critical</t>
        </is>
      </c>
      <c r="E74" s="6" t="inlineStr">
        <is>
          <t>Dr. F. Rossi</t>
        </is>
      </c>
      <c r="F74" s="9" t="inlineStr">
        <is>
          <t>2025-11-13</t>
        </is>
      </c>
      <c r="G74" s="9" t="inlineStr">
        <is>
          <t>2026-03-04</t>
        </is>
      </c>
      <c r="H74" s="6" t="inlineStr">
        <is>
          <t>In Progress</t>
        </is>
      </c>
    </row>
    <row r="75">
      <c r="A75" s="6" t="inlineStr">
        <is>
          <t>IS-0074</t>
        </is>
      </c>
      <c r="B75" s="6" t="inlineStr">
        <is>
          <t>PJ-046</t>
        </is>
      </c>
      <c r="C75" s="6" t="inlineStr">
        <is>
          <t>Interministerial approval overdue from sponsoring department</t>
        </is>
      </c>
      <c r="D75" s="6" t="inlineStr">
        <is>
          <t>Medium</t>
        </is>
      </c>
      <c r="E75" s="6" t="inlineStr">
        <is>
          <t>Dr. F. Rossi</t>
        </is>
      </c>
      <c r="F75" s="9" t="inlineStr">
        <is>
          <t>2026-06-05</t>
        </is>
      </c>
      <c r="G75" s="9" t="inlineStr">
        <is>
          <t>2026-08-09</t>
        </is>
      </c>
      <c r="H75" s="6" t="inlineStr">
        <is>
          <t>Resolved</t>
        </is>
      </c>
    </row>
    <row r="76">
      <c r="A76" s="6" t="inlineStr">
        <is>
          <t>IS-0075</t>
        </is>
      </c>
      <c r="B76" s="6" t="inlineStr">
        <is>
          <t>PJ-046</t>
        </is>
      </c>
      <c r="C76" s="6" t="inlineStr">
        <is>
          <t>Security review raised findings blocking accreditation</t>
        </is>
      </c>
      <c r="D76" s="6" t="inlineStr">
        <is>
          <t>Medium</t>
        </is>
      </c>
      <c r="E76" s="6" t="inlineStr">
        <is>
          <t>Dr. F. Rossi</t>
        </is>
      </c>
      <c r="F76" s="9" t="inlineStr">
        <is>
          <t>2026-02-17</t>
        </is>
      </c>
      <c r="G76" s="9" t="inlineStr">
        <is>
          <t>2026-04-30</t>
        </is>
      </c>
      <c r="H76" s="6" t="inlineStr">
        <is>
          <t>In Progress</t>
        </is>
      </c>
    </row>
    <row r="77">
      <c r="A77" s="6" t="inlineStr">
        <is>
          <t>IS-0076</t>
        </is>
      </c>
      <c r="B77" s="6" t="inlineStr">
        <is>
          <t>PJ-046</t>
        </is>
      </c>
      <c r="C77" s="6" t="inlineStr">
        <is>
          <t>Site access delayed pending safety clearance</t>
        </is>
      </c>
      <c r="D77" s="6" t="inlineStr">
        <is>
          <t>Low</t>
        </is>
      </c>
      <c r="E77" s="6" t="inlineStr">
        <is>
          <t>Dr. F. Rossi</t>
        </is>
      </c>
      <c r="F77" s="9" t="inlineStr">
        <is>
          <t>2026-05-21</t>
        </is>
      </c>
      <c r="G77" s="9" t="inlineStr">
        <is>
          <t>2026-07-23</t>
        </is>
      </c>
      <c r="H77" s="6" t="inlineStr">
        <is>
          <t>In Progress</t>
        </is>
      </c>
    </row>
    <row r="78">
      <c r="A78" s="6" t="inlineStr">
        <is>
          <t>IS-0077</t>
        </is>
      </c>
      <c r="B78" s="6" t="inlineStr">
        <is>
          <t>PJ-047</t>
        </is>
      </c>
      <c r="C78" s="6" t="inlineStr">
        <is>
          <t>Approved budget not yet released by treasury</t>
        </is>
      </c>
      <c r="D78" s="6" t="inlineStr">
        <is>
          <t>Medium</t>
        </is>
      </c>
      <c r="E78" s="6" t="inlineStr">
        <is>
          <t>Dr. F. Rossi</t>
        </is>
      </c>
      <c r="F78" s="9" t="inlineStr">
        <is>
          <t>2026-03-21</t>
        </is>
      </c>
      <c r="G78" s="9" t="inlineStr">
        <is>
          <t>2026-04-26</t>
        </is>
      </c>
      <c r="H78" s="6" t="inlineStr">
        <is>
          <t>Resolved</t>
        </is>
      </c>
    </row>
    <row r="79">
      <c r="A79" s="6" t="inlineStr">
        <is>
          <t>IS-0078</t>
        </is>
      </c>
      <c r="B79" s="6" t="inlineStr">
        <is>
          <t>PJ-047</t>
        </is>
      </c>
      <c r="C79" s="6" t="inlineStr">
        <is>
          <t>Data sharing agreement rejected by the source authority</t>
        </is>
      </c>
      <c r="D79" s="6" t="inlineStr">
        <is>
          <t>Low</t>
        </is>
      </c>
      <c r="E79" s="6" t="inlineStr">
        <is>
          <t>Dr. F. Rossi</t>
        </is>
      </c>
      <c r="F79" s="9" t="inlineStr">
        <is>
          <t>2026-01-06</t>
        </is>
      </c>
      <c r="G79" s="9" t="inlineStr">
        <is>
          <t>2026-05-27</t>
        </is>
      </c>
      <c r="H79" s="6" t="inlineStr">
        <is>
          <t>Resolved</t>
        </is>
      </c>
    </row>
    <row r="80">
      <c r="A80" s="6" t="inlineStr">
        <is>
          <t>IS-0079</t>
        </is>
      </c>
      <c r="B80" s="6" t="inlineStr">
        <is>
          <t>PJ-047</t>
        </is>
      </c>
      <c r="C80" s="6" t="inlineStr">
        <is>
          <t>Vendor delivery slipped against contracted milestone</t>
        </is>
      </c>
      <c r="D80" s="6" t="inlineStr">
        <is>
          <t>Medium</t>
        </is>
      </c>
      <c r="E80" s="6" t="inlineStr">
        <is>
          <t>Dr. F. Rossi</t>
        </is>
      </c>
      <c r="F80" s="9" t="inlineStr">
        <is>
          <t>2025-12-11</t>
        </is>
      </c>
      <c r="G80" s="9" t="inlineStr">
        <is>
          <t>2026-04-19</t>
        </is>
      </c>
      <c r="H80" s="6" t="inlineStr">
        <is>
          <t>Resolved</t>
        </is>
      </c>
    </row>
    <row r="81">
      <c r="A81" s="6" t="inlineStr">
        <is>
          <t>IS-0080</t>
        </is>
      </c>
      <c r="B81" s="6" t="inlineStr">
        <is>
          <t>PJ-050</t>
        </is>
      </c>
      <c r="C81" s="6" t="inlineStr">
        <is>
          <t>Interministerial approval overdue from sponsoring department</t>
        </is>
      </c>
      <c r="D81" s="6" t="inlineStr">
        <is>
          <t>High</t>
        </is>
      </c>
      <c r="E81" s="6" t="inlineStr">
        <is>
          <t>G. Tanaka</t>
        </is>
      </c>
      <c r="F81" s="9" t="inlineStr">
        <is>
          <t>2026-04-10</t>
        </is>
      </c>
      <c r="G81" s="9" t="inlineStr">
        <is>
          <t>2026-05-07</t>
        </is>
      </c>
      <c r="H81" s="6" t="inlineStr">
        <is>
          <t>In Progress</t>
        </is>
      </c>
    </row>
    <row r="82">
      <c r="A82" s="6" t="inlineStr">
        <is>
          <t>IS-0081</t>
        </is>
      </c>
      <c r="B82" s="6" t="inlineStr">
        <is>
          <t>PJ-050</t>
        </is>
      </c>
      <c r="C82" s="6" t="inlineStr">
        <is>
          <t>Security review raised findings blocking accreditation</t>
        </is>
      </c>
      <c r="D82" s="6" t="inlineStr">
        <is>
          <t>Medium</t>
        </is>
      </c>
      <c r="E82" s="6" t="inlineStr">
        <is>
          <t>G. Tanaka</t>
        </is>
      </c>
      <c r="F82" s="9" t="inlineStr">
        <is>
          <t>2026-03-04</t>
        </is>
      </c>
      <c r="G82" s="9" t="inlineStr">
        <is>
          <t>2026-04-10</t>
        </is>
      </c>
      <c r="H82" s="6" t="inlineStr">
        <is>
          <t>Open</t>
        </is>
      </c>
    </row>
    <row r="83">
      <c r="A83" s="6" t="inlineStr">
        <is>
          <t>IS-0082</t>
        </is>
      </c>
      <c r="B83" s="6" t="inlineStr">
        <is>
          <t>PJ-051</t>
        </is>
      </c>
      <c r="C83" s="6" t="inlineStr">
        <is>
          <t>Contractor claim in dispute, blocking milestone certification</t>
        </is>
      </c>
      <c r="D83" s="6" t="inlineStr">
        <is>
          <t>High</t>
        </is>
      </c>
      <c r="E83" s="6" t="inlineStr">
        <is>
          <t>G. Tanaka</t>
        </is>
      </c>
      <c r="F83" s="9" t="inlineStr">
        <is>
          <t>2025-11-15</t>
        </is>
      </c>
      <c r="G83" s="9" t="inlineStr">
        <is>
          <t>2026-04-10</t>
        </is>
      </c>
      <c r="H83" s="6" t="inlineStr">
        <is>
          <t>Resolved</t>
        </is>
      </c>
    </row>
    <row r="84">
      <c r="A84" s="6" t="inlineStr">
        <is>
          <t>IS-0083</t>
        </is>
      </c>
      <c r="B84" s="6" t="inlineStr">
        <is>
          <t>PJ-051</t>
        </is>
      </c>
      <c r="C84" s="6" t="inlineStr">
        <is>
          <t>Site access delayed pending safety clearance</t>
        </is>
      </c>
      <c r="D84" s="6" t="inlineStr">
        <is>
          <t>Medium</t>
        </is>
      </c>
      <c r="E84" s="6" t="inlineStr">
        <is>
          <t>G. Tanaka</t>
        </is>
      </c>
      <c r="F84" s="9" t="inlineStr">
        <is>
          <t>2026-04-26</t>
        </is>
      </c>
      <c r="G84" s="9" t="inlineStr">
        <is>
          <t>2026-06-24</t>
        </is>
      </c>
      <c r="H84" s="6" t="inlineStr">
        <is>
          <t>Open</t>
        </is>
      </c>
    </row>
    <row r="85">
      <c r="A85" s="6" t="inlineStr">
        <is>
          <t>IS-0084</t>
        </is>
      </c>
      <c r="B85" s="6" t="inlineStr">
        <is>
          <t>PJ-051</t>
        </is>
      </c>
      <c r="C85" s="6" t="inlineStr">
        <is>
          <t>Accuracy benchmark not met in evaluation testing</t>
        </is>
      </c>
      <c r="D85" s="6" t="inlineStr">
        <is>
          <t>Medium</t>
        </is>
      </c>
      <c r="E85" s="6" t="inlineStr">
        <is>
          <t>G. Tanaka</t>
        </is>
      </c>
      <c r="F85" s="9" t="inlineStr">
        <is>
          <t>2026-01-21</t>
        </is>
      </c>
      <c r="G85" s="9" t="inlineStr">
        <is>
          <t>2026-04-11</t>
        </is>
      </c>
      <c r="H85" s="6" t="inlineStr">
        <is>
          <t>Open</t>
        </is>
      </c>
    </row>
    <row r="86">
      <c r="A86" s="6" t="inlineStr">
        <is>
          <t>IS-0085</t>
        </is>
      </c>
      <c r="B86" s="6" t="inlineStr">
        <is>
          <t>PJ-053</t>
        </is>
      </c>
      <c r="C86" s="6" t="inlineStr">
        <is>
          <t>Approved budget not yet released by treasury</t>
        </is>
      </c>
      <c r="D86" s="6" t="inlineStr">
        <is>
          <t>Medium</t>
        </is>
      </c>
      <c r="E86" s="6" t="inlineStr">
        <is>
          <t>G. Tanaka</t>
        </is>
      </c>
      <c r="F86" s="9" t="inlineStr">
        <is>
          <t>2026-05-13</t>
        </is>
      </c>
      <c r="G86" s="9" t="inlineStr">
        <is>
          <t>2026-06-23</t>
        </is>
      </c>
      <c r="H86" s="6" t="inlineStr">
        <is>
          <t>Resolved</t>
        </is>
      </c>
    </row>
    <row r="87">
      <c r="A87" s="6" t="inlineStr">
        <is>
          <t>IS-0086</t>
        </is>
      </c>
      <c r="B87" s="6" t="inlineStr">
        <is>
          <t>PJ-053</t>
        </is>
      </c>
      <c r="C87" s="6" t="inlineStr">
        <is>
          <t>Vendor delivery slipped against contracted milestone</t>
        </is>
      </c>
      <c r="D87" s="6" t="inlineStr">
        <is>
          <t>Critical</t>
        </is>
      </c>
      <c r="E87" s="6" t="inlineStr">
        <is>
          <t>G. Tanaka</t>
        </is>
      </c>
      <c r="F87" s="9" t="inlineStr">
        <is>
          <t>2026-07-09</t>
        </is>
      </c>
      <c r="G87" s="9" t="inlineStr">
        <is>
          <t>2026-07-29</t>
        </is>
      </c>
      <c r="H87" s="6" t="inlineStr">
        <is>
          <t>Open</t>
        </is>
      </c>
    </row>
    <row r="88">
      <c r="A88" s="6" t="inlineStr">
        <is>
          <t>IS-0087</t>
        </is>
      </c>
      <c r="B88" s="6" t="inlineStr">
        <is>
          <t>PJ-053</t>
        </is>
      </c>
      <c r="C88" s="6" t="inlineStr">
        <is>
          <t>Key technical lead resigned from the delivery squad</t>
        </is>
      </c>
      <c r="D88" s="6" t="inlineStr">
        <is>
          <t>Medium</t>
        </is>
      </c>
      <c r="E88" s="6" t="inlineStr">
        <is>
          <t>G. Tanaka</t>
        </is>
      </c>
      <c r="F88" s="9" t="inlineStr">
        <is>
          <t>2026-01-17</t>
        </is>
      </c>
      <c r="G88" s="9" t="inlineStr">
        <is>
          <t>2026-06-08</t>
        </is>
      </c>
      <c r="H88" s="6" t="inlineStr">
        <is>
          <t>Resolved</t>
        </is>
      </c>
    </row>
    <row r="89">
      <c r="A89" s="6" t="inlineStr">
        <is>
          <t>IS-0088</t>
        </is>
      </c>
      <c r="B89" s="6" t="inlineStr">
        <is>
          <t>PJ-055</t>
        </is>
      </c>
      <c r="C89" s="6" t="inlineStr">
        <is>
          <t>Approved budget not yet released by treasury</t>
        </is>
      </c>
      <c r="D89" s="6" t="inlineStr">
        <is>
          <t>Low</t>
        </is>
      </c>
      <c r="E89" s="6" t="inlineStr">
        <is>
          <t>R. Bhatt</t>
        </is>
      </c>
      <c r="F89" s="9" t="inlineStr">
        <is>
          <t>2026-06-15</t>
        </is>
      </c>
      <c r="G89" s="9" t="inlineStr">
        <is>
          <t>2026-07-25</t>
        </is>
      </c>
      <c r="H89" s="6" t="inlineStr">
        <is>
          <t>Open</t>
        </is>
      </c>
    </row>
    <row r="90">
      <c r="A90" s="6" t="inlineStr">
        <is>
          <t>IS-0089</t>
        </is>
      </c>
      <c r="B90" s="6" t="inlineStr">
        <is>
          <t>PJ-055</t>
        </is>
      </c>
      <c r="C90" s="6" t="inlineStr">
        <is>
          <t>Contractor claim in dispute, blocking milestone certification</t>
        </is>
      </c>
      <c r="D90" s="6" t="inlineStr">
        <is>
          <t>Medium</t>
        </is>
      </c>
      <c r="E90" s="6" t="inlineStr">
        <is>
          <t>R. Bhatt</t>
        </is>
      </c>
      <c r="F90" s="9" t="inlineStr">
        <is>
          <t>2026-01-19</t>
        </is>
      </c>
      <c r="G90" s="9" t="inlineStr">
        <is>
          <t>2026-04-08</t>
        </is>
      </c>
      <c r="H90" s="6" t="inlineStr">
        <is>
          <t>Open</t>
        </is>
      </c>
    </row>
    <row r="91">
      <c r="A91" s="6" t="inlineStr">
        <is>
          <t>IS-0090</t>
        </is>
      </c>
      <c r="B91" s="6" t="inlineStr">
        <is>
          <t>PJ-055</t>
        </is>
      </c>
      <c r="C91" s="6" t="inlineStr">
        <is>
          <t>Environment unavailable since the last platform release</t>
        </is>
      </c>
      <c r="D91" s="6" t="inlineStr">
        <is>
          <t>Medium</t>
        </is>
      </c>
      <c r="E91" s="6" t="inlineStr">
        <is>
          <t>R. Bhatt</t>
        </is>
      </c>
      <c r="F91" s="9" t="inlineStr">
        <is>
          <t>2026-04-29</t>
        </is>
      </c>
      <c r="G91" s="9" t="inlineStr">
        <is>
          <t>2026-08-06</t>
        </is>
      </c>
      <c r="H91" s="6" t="inlineStr">
        <is>
          <t>Resolved</t>
        </is>
      </c>
    </row>
    <row r="92">
      <c r="A92" s="6" t="inlineStr">
        <is>
          <t>IS-0091</t>
        </is>
      </c>
      <c r="B92" s="6" t="inlineStr">
        <is>
          <t>PJ-055</t>
        </is>
      </c>
      <c r="C92" s="6" t="inlineStr">
        <is>
          <t>Defect backlog above agreed exit criteria</t>
        </is>
      </c>
      <c r="D92" s="6" t="inlineStr">
        <is>
          <t>Medium</t>
        </is>
      </c>
      <c r="E92" s="6" t="inlineStr">
        <is>
          <t>R. Bhatt</t>
        </is>
      </c>
      <c r="F92" s="9" t="inlineStr">
        <is>
          <t>2026-05-15</t>
        </is>
      </c>
      <c r="G92" s="9" t="inlineStr">
        <is>
          <t>2026-08-01</t>
        </is>
      </c>
      <c r="H92" s="6" t="inlineStr">
        <is>
          <t>Open</t>
        </is>
      </c>
    </row>
    <row r="93">
      <c r="A93" s="6" t="inlineStr">
        <is>
          <t>IS-0092</t>
        </is>
      </c>
      <c r="B93" s="6" t="inlineStr">
        <is>
          <t>PJ-057</t>
        </is>
      </c>
      <c r="C93" s="6" t="inlineStr">
        <is>
          <t>Counterpart has not confirmed the ratification timetable</t>
        </is>
      </c>
      <c r="D93" s="6" t="inlineStr">
        <is>
          <t>Medium</t>
        </is>
      </c>
      <c r="E93" s="6" t="inlineStr">
        <is>
          <t>R. Bhatt</t>
        </is>
      </c>
      <c r="F93" s="9" t="inlineStr">
        <is>
          <t>2026-05-01</t>
        </is>
      </c>
      <c r="G93" s="9" t="inlineStr">
        <is>
          <t>2026-07-21</t>
        </is>
      </c>
      <c r="H93" s="6" t="inlineStr">
        <is>
          <t>In Progress</t>
        </is>
      </c>
    </row>
    <row r="94">
      <c r="A94" s="6" t="inlineStr">
        <is>
          <t>IS-0093</t>
        </is>
      </c>
      <c r="B94" s="6" t="inlineStr">
        <is>
          <t>PJ-058</t>
        </is>
      </c>
      <c r="C94" s="6" t="inlineStr">
        <is>
          <t>Environment unavailable since the last platform release</t>
        </is>
      </c>
      <c r="D94" s="6" t="inlineStr">
        <is>
          <t>High</t>
        </is>
      </c>
      <c r="E94" s="6" t="inlineStr">
        <is>
          <t>R. Bhatt</t>
        </is>
      </c>
      <c r="F94" s="9" t="inlineStr">
        <is>
          <t>2025-12-05</t>
        </is>
      </c>
      <c r="G94" s="9" t="inlineStr">
        <is>
          <t>2026-02-05</t>
        </is>
      </c>
      <c r="H94" s="6" t="inlineStr">
        <is>
          <t>Open</t>
        </is>
      </c>
    </row>
    <row r="95">
      <c r="A95" s="6" t="inlineStr">
        <is>
          <t>IS-0094</t>
        </is>
      </c>
      <c r="B95" s="6" t="inlineStr">
        <is>
          <t>PJ-058</t>
        </is>
      </c>
      <c r="C95" s="6" t="inlineStr">
        <is>
          <t>Data sharing agreement rejected by the source authority</t>
        </is>
      </c>
      <c r="D95" s="6" t="inlineStr">
        <is>
          <t>High</t>
        </is>
      </c>
      <c r="E95" s="6" t="inlineStr">
        <is>
          <t>R. Bhatt</t>
        </is>
      </c>
      <c r="F95" s="9" t="inlineStr">
        <is>
          <t>2026-02-10</t>
        </is>
      </c>
      <c r="G95" s="9" t="inlineStr">
        <is>
          <t>2026-07-08</t>
        </is>
      </c>
      <c r="H95" s="6" t="inlineStr">
        <is>
          <t>Open</t>
        </is>
      </c>
    </row>
    <row r="96">
      <c r="A96" s="6" t="inlineStr">
        <is>
          <t>IS-0095</t>
        </is>
      </c>
      <c r="B96" s="6" t="inlineStr">
        <is>
          <t>PJ-058</t>
        </is>
      </c>
      <c r="C96" s="6" t="inlineStr">
        <is>
          <t>Defect backlog above agreed exit criteria</t>
        </is>
      </c>
      <c r="D96" s="6" t="inlineStr">
        <is>
          <t>Medium</t>
        </is>
      </c>
      <c r="E96" s="6" t="inlineStr">
        <is>
          <t>R. Bhatt</t>
        </is>
      </c>
      <c r="F96" s="9" t="inlineStr">
        <is>
          <t>2026-04-30</t>
        </is>
      </c>
      <c r="G96" s="9" t="inlineStr">
        <is>
          <t>2026-07-02</t>
        </is>
      </c>
      <c r="H96" s="6" t="inlineStr">
        <is>
          <t>Open</t>
        </is>
      </c>
    </row>
    <row r="97">
      <c r="A97" s="6" t="inlineStr">
        <is>
          <t>IS-0096</t>
        </is>
      </c>
      <c r="B97" s="6" t="inlineStr">
        <is>
          <t>PJ-058</t>
        </is>
      </c>
      <c r="C97" s="6" t="inlineStr">
        <is>
          <t>Scope change requested without an identified funding source</t>
        </is>
      </c>
      <c r="D97" s="6" t="inlineStr">
        <is>
          <t>High</t>
        </is>
      </c>
      <c r="E97" s="6" t="inlineStr">
        <is>
          <t>R. Bhatt</t>
        </is>
      </c>
      <c r="F97" s="9" t="inlineStr">
        <is>
          <t>2025-12-03</t>
        </is>
      </c>
      <c r="G97" s="9" t="inlineStr">
        <is>
          <t>2026-04-01</t>
        </is>
      </c>
      <c r="H97" s="6" t="inlineStr">
        <is>
          <t>Open</t>
        </is>
      </c>
    </row>
    <row r="98">
      <c r="A98" s="6" t="inlineStr">
        <is>
          <t>IS-0097</t>
        </is>
      </c>
      <c r="B98" s="6" t="inlineStr">
        <is>
          <t>PJ-059</t>
        </is>
      </c>
      <c r="C98" s="6" t="inlineStr">
        <is>
          <t>Data sharing agreement rejected by the source authority</t>
        </is>
      </c>
      <c r="D98" s="6" t="inlineStr">
        <is>
          <t>High</t>
        </is>
      </c>
      <c r="E98" s="6" t="inlineStr">
        <is>
          <t>R. Bhatt</t>
        </is>
      </c>
      <c r="F98" s="9" t="inlineStr">
        <is>
          <t>2026-03-08</t>
        </is>
      </c>
      <c r="G98" s="9" t="inlineStr">
        <is>
          <t>2026-04-28</t>
        </is>
      </c>
      <c r="H98" s="6" t="inlineStr">
        <is>
          <t>In Progress</t>
        </is>
      </c>
    </row>
    <row r="99">
      <c r="A99" s="6" t="inlineStr">
        <is>
          <t>IS-0098</t>
        </is>
      </c>
      <c r="B99" s="6" t="inlineStr">
        <is>
          <t>PJ-059</t>
        </is>
      </c>
      <c r="C99" s="6" t="inlineStr">
        <is>
          <t>Vendor delivery slipped against contracted milestone</t>
        </is>
      </c>
      <c r="D99" s="6" t="inlineStr">
        <is>
          <t>High</t>
        </is>
      </c>
      <c r="E99" s="6" t="inlineStr">
        <is>
          <t>R. Bhatt</t>
        </is>
      </c>
      <c r="F99" s="9" t="inlineStr">
        <is>
          <t>2026-03-28</t>
        </is>
      </c>
      <c r="G99" s="9" t="inlineStr">
        <is>
          <t>2026-08-07</t>
        </is>
      </c>
      <c r="H99" s="6" t="inlineStr">
        <is>
          <t>Resolved</t>
        </is>
      </c>
    </row>
    <row r="100">
      <c r="A100" s="6" t="inlineStr">
        <is>
          <t>IS-0099</t>
        </is>
      </c>
      <c r="B100" s="6" t="inlineStr">
        <is>
          <t>PJ-059</t>
        </is>
      </c>
      <c r="C100" s="6" t="inlineStr">
        <is>
          <t>Interministerial approval overdue from sponsoring department</t>
        </is>
      </c>
      <c r="D100" s="6" t="inlineStr">
        <is>
          <t>Low</t>
        </is>
      </c>
      <c r="E100" s="6" t="inlineStr">
        <is>
          <t>R. Bhatt</t>
        </is>
      </c>
      <c r="F100" s="9" t="inlineStr">
        <is>
          <t>2026-03-10</t>
        </is>
      </c>
      <c r="G100" s="9" t="inlineStr">
        <is>
          <t>2026-05-15</t>
        </is>
      </c>
      <c r="H100" s="6" t="inlineStr">
        <is>
          <t>Open</t>
        </is>
      </c>
    </row>
    <row r="101">
      <c r="A101" s="6" t="inlineStr">
        <is>
          <t>IS-0100</t>
        </is>
      </c>
      <c r="B101" s="6" t="inlineStr">
        <is>
          <t>PJ-059</t>
        </is>
      </c>
      <c r="C101" s="6" t="inlineStr">
        <is>
          <t>Scope change requested without an identified funding source</t>
        </is>
      </c>
      <c r="D101" s="6" t="inlineStr">
        <is>
          <t>High</t>
        </is>
      </c>
      <c r="E101" s="6" t="inlineStr">
        <is>
          <t>R. Bhatt</t>
        </is>
      </c>
      <c r="F101" s="9" t="inlineStr">
        <is>
          <t>2026-04-16</t>
        </is>
      </c>
      <c r="G101" s="9" t="inlineStr">
        <is>
          <t>2026-05-08</t>
        </is>
      </c>
      <c r="H101" s="6" t="inlineStr">
        <is>
          <t>Open</t>
        </is>
      </c>
    </row>
    <row r="102">
      <c r="A102" s="6" t="inlineStr">
        <is>
          <t>IS-0101</t>
        </is>
      </c>
      <c r="B102" s="6" t="inlineStr">
        <is>
          <t>PJ-059</t>
        </is>
      </c>
      <c r="C102" s="6" t="inlineStr">
        <is>
          <t>Contractor claim in dispute, blocking milestone certification</t>
        </is>
      </c>
      <c r="D102" s="6" t="inlineStr">
        <is>
          <t>Medium</t>
        </is>
      </c>
      <c r="E102" s="6" t="inlineStr">
        <is>
          <t>R. Bhatt</t>
        </is>
      </c>
      <c r="F102" s="9" t="inlineStr">
        <is>
          <t>2026-03-01</t>
        </is>
      </c>
      <c r="G102" s="9" t="inlineStr">
        <is>
          <t>2026-06-14</t>
        </is>
      </c>
      <c r="H102" s="6" t="inlineStr">
        <is>
          <t>Open</t>
        </is>
      </c>
    </row>
    <row r="103">
      <c r="A103" s="6" t="inlineStr">
        <is>
          <t>IS-0102</t>
        </is>
      </c>
      <c r="B103" s="6" t="inlineStr">
        <is>
          <t>PJ-060</t>
        </is>
      </c>
      <c r="C103" s="6" t="inlineStr">
        <is>
          <t>Counterpart has not confirmed the ratification timetable</t>
        </is>
      </c>
      <c r="D103" s="6" t="inlineStr">
        <is>
          <t>Medium</t>
        </is>
      </c>
      <c r="E103" s="6" t="inlineStr">
        <is>
          <t>L. Moreau</t>
        </is>
      </c>
      <c r="F103" s="9" t="inlineStr">
        <is>
          <t>2025-12-19</t>
        </is>
      </c>
      <c r="G103" s="9" t="inlineStr">
        <is>
          <t>2026-02-14</t>
        </is>
      </c>
      <c r="H103" s="6" t="inlineStr">
        <is>
          <t>Open</t>
        </is>
      </c>
    </row>
    <row r="104">
      <c r="A104" s="6" t="inlineStr">
        <is>
          <t>IS-0103</t>
        </is>
      </c>
      <c r="B104" s="6" t="inlineStr">
        <is>
          <t>PJ-060</t>
        </is>
      </c>
      <c r="C104" s="6" t="inlineStr">
        <is>
          <t>Approved budget not yet released by treasury</t>
        </is>
      </c>
      <c r="D104" s="6" t="inlineStr">
        <is>
          <t>Low</t>
        </is>
      </c>
      <c r="E104" s="6" t="inlineStr">
        <is>
          <t>L. Moreau</t>
        </is>
      </c>
      <c r="F104" s="9" t="inlineStr">
        <is>
          <t>2026-06-10</t>
        </is>
      </c>
      <c r="G104" s="9" t="inlineStr">
        <is>
          <t>2026-08-17</t>
        </is>
      </c>
      <c r="H104" s="6" t="inlineStr">
        <is>
          <t>In Progress</t>
        </is>
      </c>
    </row>
    <row r="105">
      <c r="A105" s="6" t="inlineStr">
        <is>
          <t>IS-0104</t>
        </is>
      </c>
      <c r="B105" s="6" t="inlineStr">
        <is>
          <t>PJ-060</t>
        </is>
      </c>
      <c r="C105" s="6" t="inlineStr">
        <is>
          <t>Data sharing agreement rejected by the source authority</t>
        </is>
      </c>
      <c r="D105" s="6" t="inlineStr">
        <is>
          <t>High</t>
        </is>
      </c>
      <c r="E105" s="6" t="inlineStr">
        <is>
          <t>L. Moreau</t>
        </is>
      </c>
      <c r="F105" s="9" t="inlineStr">
        <is>
          <t>2026-08-04</t>
        </is>
      </c>
      <c r="G105" s="9" t="inlineStr">
        <is>
          <t>2026-12-22</t>
        </is>
      </c>
      <c r="H105" s="6" t="inlineStr">
        <is>
          <t>Resolved</t>
        </is>
      </c>
    </row>
    <row r="106">
      <c r="A106" s="6" t="inlineStr">
        <is>
          <t>IS-0105</t>
        </is>
      </c>
      <c r="B106" s="6" t="inlineStr">
        <is>
          <t>PJ-060</t>
        </is>
      </c>
      <c r="C106" s="6" t="inlineStr">
        <is>
          <t>Accuracy benchmark not met in evaluation testing</t>
        </is>
      </c>
      <c r="D106" s="6" t="inlineStr">
        <is>
          <t>High</t>
        </is>
      </c>
      <c r="E106" s="6" t="inlineStr">
        <is>
          <t>L. Moreau</t>
        </is>
      </c>
      <c r="F106" s="9" t="inlineStr">
        <is>
          <t>2025-12-25</t>
        </is>
      </c>
      <c r="G106" s="9" t="inlineStr">
        <is>
          <t>2026-02-02</t>
        </is>
      </c>
      <c r="H106" s="6" t="inlineStr">
        <is>
          <t>In Progress</t>
        </is>
      </c>
    </row>
    <row r="107">
      <c r="A107" s="6" t="inlineStr">
        <is>
          <t>IS-0106</t>
        </is>
      </c>
      <c r="B107" s="6" t="inlineStr">
        <is>
          <t>PJ-060</t>
        </is>
      </c>
      <c r="C107" s="6" t="inlineStr">
        <is>
          <t>Key technical lead resigned from the delivery squad</t>
        </is>
      </c>
      <c r="D107" s="6" t="inlineStr">
        <is>
          <t>Low</t>
        </is>
      </c>
      <c r="E107" s="6" t="inlineStr">
        <is>
          <t>L. Moreau</t>
        </is>
      </c>
      <c r="F107" s="9" t="inlineStr">
        <is>
          <t>2026-02-07</t>
        </is>
      </c>
      <c r="G107" s="9" t="inlineStr">
        <is>
          <t>2026-06-13</t>
        </is>
      </c>
      <c r="H107" s="6" t="inlineStr">
        <is>
          <t>In Progress</t>
        </is>
      </c>
    </row>
    <row r="108">
      <c r="A108" s="6" t="inlineStr">
        <is>
          <t>IS-0107</t>
        </is>
      </c>
      <c r="B108" s="6" t="inlineStr">
        <is>
          <t>PJ-061</t>
        </is>
      </c>
      <c r="C108" s="6" t="inlineStr">
        <is>
          <t>Environment unavailable since the last platform release</t>
        </is>
      </c>
      <c r="D108" s="6" t="inlineStr">
        <is>
          <t>Medium</t>
        </is>
      </c>
      <c r="E108" s="6" t="inlineStr">
        <is>
          <t>L. Moreau</t>
        </is>
      </c>
      <c r="F108" s="9" t="inlineStr">
        <is>
          <t>2025-10-28</t>
        </is>
      </c>
      <c r="G108" s="9" t="inlineStr">
        <is>
          <t>2026-01-20</t>
        </is>
      </c>
      <c r="H108" s="6" t="inlineStr">
        <is>
          <t>In Progress</t>
        </is>
      </c>
    </row>
    <row r="109">
      <c r="A109" s="6" t="inlineStr">
        <is>
          <t>IS-0108</t>
        </is>
      </c>
      <c r="B109" s="6" t="inlineStr">
        <is>
          <t>PJ-061</t>
        </is>
      </c>
      <c r="C109" s="6" t="inlineStr">
        <is>
          <t>Data sharing agreement rejected by the source authority</t>
        </is>
      </c>
      <c r="D109" s="6" t="inlineStr">
        <is>
          <t>Low</t>
        </is>
      </c>
      <c r="E109" s="6" t="inlineStr">
        <is>
          <t>L. Moreau</t>
        </is>
      </c>
      <c r="F109" s="9" t="inlineStr">
        <is>
          <t>2026-03-27</t>
        </is>
      </c>
      <c r="G109" s="9" t="inlineStr">
        <is>
          <t>2026-08-22</t>
        </is>
      </c>
      <c r="H109" s="6" t="inlineStr">
        <is>
          <t>In Progress</t>
        </is>
      </c>
    </row>
    <row r="110">
      <c r="A110" s="6" t="inlineStr">
        <is>
          <t>IS-0109</t>
        </is>
      </c>
      <c r="B110" s="6" t="inlineStr">
        <is>
          <t>PJ-061</t>
        </is>
      </c>
      <c r="C110" s="6" t="inlineStr">
        <is>
          <t>Accuracy benchmark not met in evaluation testing</t>
        </is>
      </c>
      <c r="D110" s="6" t="inlineStr">
        <is>
          <t>Low</t>
        </is>
      </c>
      <c r="E110" s="6" t="inlineStr">
        <is>
          <t>L. Moreau</t>
        </is>
      </c>
      <c r="F110" s="9" t="inlineStr">
        <is>
          <t>2026-05-02</t>
        </is>
      </c>
      <c r="G110" s="9" t="inlineStr">
        <is>
          <t>2026-06-24</t>
        </is>
      </c>
      <c r="H110" s="6" t="inlineStr">
        <is>
          <t>In Progress</t>
        </is>
      </c>
    </row>
    <row r="111">
      <c r="A111" s="6" t="inlineStr">
        <is>
          <t>IS-0110</t>
        </is>
      </c>
      <c r="B111" s="6" t="inlineStr">
        <is>
          <t>PJ-061</t>
        </is>
      </c>
      <c r="C111" s="6" t="inlineStr">
        <is>
          <t>Upstream dependency milestone missed by another programme</t>
        </is>
      </c>
      <c r="D111" s="6" t="inlineStr">
        <is>
          <t>High</t>
        </is>
      </c>
      <c r="E111" s="6" t="inlineStr">
        <is>
          <t>L. Moreau</t>
        </is>
      </c>
      <c r="F111" s="9" t="inlineStr">
        <is>
          <t>2026-06-18</t>
        </is>
      </c>
      <c r="G111" s="9" t="inlineStr">
        <is>
          <t>2026-09-07</t>
        </is>
      </c>
      <c r="H111" s="6" t="inlineStr">
        <is>
          <t>Resolved</t>
        </is>
      </c>
    </row>
    <row r="112">
      <c r="A112" s="6" t="inlineStr">
        <is>
          <t>IS-0111</t>
        </is>
      </c>
      <c r="B112" s="6" t="inlineStr">
        <is>
          <t>PJ-063</t>
        </is>
      </c>
      <c r="C112" s="6" t="inlineStr">
        <is>
          <t>Security review raised findings blocking accreditation</t>
        </is>
      </c>
      <c r="D112" s="6" t="inlineStr">
        <is>
          <t>Low</t>
        </is>
      </c>
      <c r="E112" s="6" t="inlineStr">
        <is>
          <t>L. Moreau</t>
        </is>
      </c>
      <c r="F112" s="9" t="inlineStr">
        <is>
          <t>2026-03-09</t>
        </is>
      </c>
      <c r="G112" s="9" t="inlineStr">
        <is>
          <t>2026-08-04</t>
        </is>
      </c>
      <c r="H112" s="6" t="inlineStr">
        <is>
          <t>Open</t>
        </is>
      </c>
    </row>
    <row r="113">
      <c r="A113" s="6" t="inlineStr">
        <is>
          <t>IS-0112</t>
        </is>
      </c>
      <c r="B113" s="6" t="inlineStr">
        <is>
          <t>PJ-063</t>
        </is>
      </c>
      <c r="C113" s="6" t="inlineStr">
        <is>
          <t>Upstream dependency milestone missed by another programme</t>
        </is>
      </c>
      <c r="D113" s="6" t="inlineStr">
        <is>
          <t>High</t>
        </is>
      </c>
      <c r="E113" s="6" t="inlineStr">
        <is>
          <t>L. Moreau</t>
        </is>
      </c>
      <c r="F113" s="9" t="inlineStr">
        <is>
          <t>2026-01-14</t>
        </is>
      </c>
      <c r="G113" s="9" t="inlineStr">
        <is>
          <t>2026-02-09</t>
        </is>
      </c>
      <c r="H113" s="6" t="inlineStr">
        <is>
          <t>Resolved</t>
        </is>
      </c>
    </row>
    <row r="114">
      <c r="A114" s="6" t="inlineStr">
        <is>
          <t>IS-0113</t>
        </is>
      </c>
      <c r="B114" s="6" t="inlineStr">
        <is>
          <t>PJ-064</t>
        </is>
      </c>
      <c r="C114" s="6" t="inlineStr">
        <is>
          <t>Environment unavailable since the last platform release</t>
        </is>
      </c>
      <c r="D114" s="6" t="inlineStr">
        <is>
          <t>Medium</t>
        </is>
      </c>
      <c r="E114" s="6" t="inlineStr">
        <is>
          <t>I. Fernandes</t>
        </is>
      </c>
      <c r="F114" s="9" t="inlineStr">
        <is>
          <t>2026-05-19</t>
        </is>
      </c>
      <c r="G114" s="9" t="inlineStr">
        <is>
          <t>2026-07-09</t>
        </is>
      </c>
      <c r="H114" s="6" t="inlineStr">
        <is>
          <t>Open</t>
        </is>
      </c>
    </row>
    <row r="115">
      <c r="A115" s="6" t="inlineStr">
        <is>
          <t>IS-0114</t>
        </is>
      </c>
      <c r="B115" s="6" t="inlineStr">
        <is>
          <t>PJ-064</t>
        </is>
      </c>
      <c r="C115" s="6" t="inlineStr">
        <is>
          <t>Key technical lead resigned from the delivery squad</t>
        </is>
      </c>
      <c r="D115" s="6" t="inlineStr">
        <is>
          <t>Low</t>
        </is>
      </c>
      <c r="E115" s="6" t="inlineStr">
        <is>
          <t>I. Fernandes</t>
        </is>
      </c>
      <c r="F115" s="9" t="inlineStr">
        <is>
          <t>2026-02-21</t>
        </is>
      </c>
      <c r="G115" s="9" t="inlineStr">
        <is>
          <t>2026-04-07</t>
        </is>
      </c>
      <c r="H115" s="6" t="inlineStr">
        <is>
          <t>In Progress</t>
        </is>
      </c>
    </row>
    <row r="116">
      <c r="A116" s="6" t="inlineStr">
        <is>
          <t>IS-0115</t>
        </is>
      </c>
      <c r="B116" s="6" t="inlineStr">
        <is>
          <t>PJ-064</t>
        </is>
      </c>
      <c r="C116" s="6" t="inlineStr">
        <is>
          <t>Scope change requested without an identified funding source</t>
        </is>
      </c>
      <c r="D116" s="6" t="inlineStr">
        <is>
          <t>Medium</t>
        </is>
      </c>
      <c r="E116" s="6" t="inlineStr">
        <is>
          <t>I. Fernandes</t>
        </is>
      </c>
      <c r="F116" s="9" t="inlineStr">
        <is>
          <t>2025-12-14</t>
        </is>
      </c>
      <c r="G116" s="9" t="inlineStr">
        <is>
          <t>2026-05-07</t>
        </is>
      </c>
      <c r="H116" s="6" t="inlineStr">
        <is>
          <t>In Progress</t>
        </is>
      </c>
    </row>
    <row r="117">
      <c r="A117" s="6" t="inlineStr">
        <is>
          <t>IS-0116</t>
        </is>
      </c>
      <c r="B117" s="6" t="inlineStr">
        <is>
          <t>PJ-065</t>
        </is>
      </c>
      <c r="C117" s="6" t="inlineStr">
        <is>
          <t>Accuracy benchmark not met in evaluation testing</t>
        </is>
      </c>
      <c r="D117" s="6" t="inlineStr">
        <is>
          <t>Medium</t>
        </is>
      </c>
      <c r="E117" s="6" t="inlineStr">
        <is>
          <t>I. Fernandes</t>
        </is>
      </c>
      <c r="F117" s="9" t="inlineStr">
        <is>
          <t>2025-11-08</t>
        </is>
      </c>
      <c r="G117" s="9" t="inlineStr">
        <is>
          <t>2026-03-11</t>
        </is>
      </c>
      <c r="H117" s="6" t="inlineStr">
        <is>
          <t>Open</t>
        </is>
      </c>
    </row>
    <row r="118">
      <c r="A118" s="6" t="inlineStr">
        <is>
          <t>IS-0117</t>
        </is>
      </c>
      <c r="B118" s="6" t="inlineStr">
        <is>
          <t>PJ-065</t>
        </is>
      </c>
      <c r="C118" s="6" t="inlineStr">
        <is>
          <t>Interministerial approval overdue from sponsoring department</t>
        </is>
      </c>
      <c r="D118" s="6" t="inlineStr">
        <is>
          <t>High</t>
        </is>
      </c>
      <c r="E118" s="6" t="inlineStr">
        <is>
          <t>I. Fernandes</t>
        </is>
      </c>
      <c r="F118" s="9" t="inlineStr">
        <is>
          <t>2026-03-02</t>
        </is>
      </c>
      <c r="G118" s="9" t="inlineStr">
        <is>
          <t>2026-05-05</t>
        </is>
      </c>
      <c r="H118" s="6" t="inlineStr">
        <is>
          <t>Open</t>
        </is>
      </c>
    </row>
    <row r="119">
      <c r="A119" s="6" t="inlineStr">
        <is>
          <t>IS-0118</t>
        </is>
      </c>
      <c r="B119" s="6" t="inlineStr">
        <is>
          <t>PJ-065</t>
        </is>
      </c>
      <c r="C119" s="6" t="inlineStr">
        <is>
          <t>Contractor claim in dispute, blocking milestone certification</t>
        </is>
      </c>
      <c r="D119" s="6" t="inlineStr">
        <is>
          <t>Low</t>
        </is>
      </c>
      <c r="E119" s="6" t="inlineStr">
        <is>
          <t>I. Fernandes</t>
        </is>
      </c>
      <c r="F119" s="9" t="inlineStr">
        <is>
          <t>2026-03-23</t>
        </is>
      </c>
      <c r="G119" s="9" t="inlineStr">
        <is>
          <t>2026-04-25</t>
        </is>
      </c>
      <c r="H119" s="6" t="inlineStr">
        <is>
          <t>In Progress</t>
        </is>
      </c>
    </row>
    <row r="120">
      <c r="A120" s="6" t="inlineStr">
        <is>
          <t>IS-0119</t>
        </is>
      </c>
      <c r="B120" s="6" t="inlineStr">
        <is>
          <t>PJ-065</t>
        </is>
      </c>
      <c r="C120" s="6" t="inlineStr">
        <is>
          <t>Vendor delivery slipped against contracted milestone</t>
        </is>
      </c>
      <c r="D120" s="6" t="inlineStr">
        <is>
          <t>Medium</t>
        </is>
      </c>
      <c r="E120" s="6" t="inlineStr">
        <is>
          <t>I. Fernandes</t>
        </is>
      </c>
      <c r="F120" s="9" t="inlineStr">
        <is>
          <t>2025-10-30</t>
        </is>
      </c>
      <c r="G120" s="9" t="inlineStr">
        <is>
          <t>2026-01-11</t>
        </is>
      </c>
      <c r="H120" s="6" t="inlineStr">
        <is>
          <t>Open</t>
        </is>
      </c>
    </row>
    <row r="121">
      <c r="A121" s="6" t="inlineStr">
        <is>
          <t>IS-0120</t>
        </is>
      </c>
      <c r="B121" s="6" t="inlineStr">
        <is>
          <t>PJ-067</t>
        </is>
      </c>
      <c r="C121" s="6" t="inlineStr">
        <is>
          <t>Key technical lead resigned from the delivery squad</t>
        </is>
      </c>
      <c r="D121" s="6" t="inlineStr">
        <is>
          <t>Critical</t>
        </is>
      </c>
      <c r="E121" s="6" t="inlineStr">
        <is>
          <t>I. Fernandes</t>
        </is>
      </c>
      <c r="F121" s="9" t="inlineStr">
        <is>
          <t>2026-01-27</t>
        </is>
      </c>
      <c r="G121" s="9" t="inlineStr">
        <is>
          <t>2026-04-27</t>
        </is>
      </c>
      <c r="H121" s="6" t="inlineStr">
        <is>
          <t>In Progress</t>
        </is>
      </c>
    </row>
    <row r="122">
      <c r="A122" s="6" t="inlineStr">
        <is>
          <t>IS-0121</t>
        </is>
      </c>
      <c r="B122" s="6" t="inlineStr">
        <is>
          <t>PJ-067</t>
        </is>
      </c>
      <c r="C122" s="6" t="inlineStr">
        <is>
          <t>Upstream dependency milestone missed by another programme</t>
        </is>
      </c>
      <c r="D122" s="6" t="inlineStr">
        <is>
          <t>Medium</t>
        </is>
      </c>
      <c r="E122" s="6" t="inlineStr">
        <is>
          <t>I. Fernandes</t>
        </is>
      </c>
      <c r="F122" s="9" t="inlineStr">
        <is>
          <t>2025-12-24</t>
        </is>
      </c>
      <c r="G122" s="9" t="inlineStr">
        <is>
          <t>2026-03-23</t>
        </is>
      </c>
      <c r="H122" s="6" t="inlineStr">
        <is>
          <t>Open</t>
        </is>
      </c>
    </row>
    <row r="123">
      <c r="A123" s="6" t="inlineStr">
        <is>
          <t>IS-0122</t>
        </is>
      </c>
      <c r="B123" s="6" t="inlineStr">
        <is>
          <t>PJ-067</t>
        </is>
      </c>
      <c r="C123" s="6" t="inlineStr">
        <is>
          <t>Counterpart has not confirmed the ratification timetable</t>
        </is>
      </c>
      <c r="D123" s="6" t="inlineStr">
        <is>
          <t>Medium</t>
        </is>
      </c>
      <c r="E123" s="6" t="inlineStr">
        <is>
          <t>I. Fernandes</t>
        </is>
      </c>
      <c r="F123" s="9" t="inlineStr">
        <is>
          <t>2026-07-10</t>
        </is>
      </c>
      <c r="G123" s="9" t="inlineStr">
        <is>
          <t>2026-10-24</t>
        </is>
      </c>
      <c r="H123" s="6" t="inlineStr">
        <is>
          <t>In Progress</t>
        </is>
      </c>
    </row>
    <row r="124">
      <c r="A124" s="6" t="inlineStr">
        <is>
          <t>IS-0123</t>
        </is>
      </c>
      <c r="B124" s="6" t="inlineStr">
        <is>
          <t>PJ-069</t>
        </is>
      </c>
      <c r="C124" s="6" t="inlineStr">
        <is>
          <t>Upstream dependency milestone missed by another programme</t>
        </is>
      </c>
      <c r="D124" s="6" t="inlineStr">
        <is>
          <t>Medium</t>
        </is>
      </c>
      <c r="E124" s="6" t="inlineStr">
        <is>
          <t>M. Osei</t>
        </is>
      </c>
      <c r="F124" s="9" t="inlineStr">
        <is>
          <t>2026-04-08</t>
        </is>
      </c>
      <c r="G124" s="9" t="inlineStr">
        <is>
          <t>2026-08-29</t>
        </is>
      </c>
      <c r="H124" s="6" t="inlineStr">
        <is>
          <t>Open</t>
        </is>
      </c>
    </row>
    <row r="125">
      <c r="A125" s="6" t="inlineStr">
        <is>
          <t>IS-0124</t>
        </is>
      </c>
      <c r="B125" s="6" t="inlineStr">
        <is>
          <t>PJ-069</t>
        </is>
      </c>
      <c r="C125" s="6" t="inlineStr">
        <is>
          <t>Environment unavailable since the last platform release</t>
        </is>
      </c>
      <c r="D125" s="6" t="inlineStr">
        <is>
          <t>Medium</t>
        </is>
      </c>
      <c r="E125" s="6" t="inlineStr">
        <is>
          <t>M. Osei</t>
        </is>
      </c>
      <c r="F125" s="9" t="inlineStr">
        <is>
          <t>2026-05-14</t>
        </is>
      </c>
      <c r="G125" s="9" t="inlineStr">
        <is>
          <t>2026-09-16</t>
        </is>
      </c>
      <c r="H125" s="6" t="inlineStr">
        <is>
          <t>Open</t>
        </is>
      </c>
    </row>
    <row r="126">
      <c r="A126" s="6" t="inlineStr">
        <is>
          <t>IS-0125</t>
        </is>
      </c>
      <c r="B126" s="6" t="inlineStr">
        <is>
          <t>PJ-069</t>
        </is>
      </c>
      <c r="C126" s="6" t="inlineStr">
        <is>
          <t>Interministerial approval overdue from sponsoring department</t>
        </is>
      </c>
      <c r="D126" s="6" t="inlineStr">
        <is>
          <t>Medium</t>
        </is>
      </c>
      <c r="E126" s="6" t="inlineStr">
        <is>
          <t>M. Osei</t>
        </is>
      </c>
      <c r="F126" s="9" t="inlineStr">
        <is>
          <t>2026-05-10</t>
        </is>
      </c>
      <c r="G126" s="9" t="inlineStr">
        <is>
          <t>2026-07-26</t>
        </is>
      </c>
      <c r="H126" s="6" t="inlineStr">
        <is>
          <t>Open</t>
        </is>
      </c>
    </row>
    <row r="127">
      <c r="A127" s="6" t="inlineStr">
        <is>
          <t>IS-0126</t>
        </is>
      </c>
      <c r="B127" s="6" t="inlineStr">
        <is>
          <t>PJ-069</t>
        </is>
      </c>
      <c r="C127" s="6" t="inlineStr">
        <is>
          <t>Key technical lead resigned from the delivery squad</t>
        </is>
      </c>
      <c r="D127" s="6" t="inlineStr">
        <is>
          <t>Low</t>
        </is>
      </c>
      <c r="E127" s="6" t="inlineStr">
        <is>
          <t>M. Osei</t>
        </is>
      </c>
      <c r="F127" s="9" t="inlineStr">
        <is>
          <t>2026-04-28</t>
        </is>
      </c>
      <c r="G127" s="9" t="inlineStr">
        <is>
          <t>2026-05-31</t>
        </is>
      </c>
      <c r="H127" s="6" t="inlineStr">
        <is>
          <t>Open</t>
        </is>
      </c>
    </row>
    <row r="128">
      <c r="A128" s="6" t="inlineStr">
        <is>
          <t>IS-0127</t>
        </is>
      </c>
      <c r="B128" s="6" t="inlineStr">
        <is>
          <t>PJ-071</t>
        </is>
      </c>
      <c r="C128" s="6" t="inlineStr">
        <is>
          <t>Upstream dependency milestone missed by another programme</t>
        </is>
      </c>
      <c r="D128" s="6" t="inlineStr">
        <is>
          <t>Medium</t>
        </is>
      </c>
      <c r="E128" s="6" t="inlineStr">
        <is>
          <t>M. Osei</t>
        </is>
      </c>
      <c r="F128" s="9" t="inlineStr">
        <is>
          <t>2025-11-08</t>
        </is>
      </c>
      <c r="G128" s="9" t="inlineStr">
        <is>
          <t>2026-03-08</t>
        </is>
      </c>
      <c r="H128" s="6" t="inlineStr">
        <is>
          <t>Resolved</t>
        </is>
      </c>
    </row>
    <row r="129">
      <c r="A129" s="6" t="inlineStr">
        <is>
          <t>IS-0128</t>
        </is>
      </c>
      <c r="B129" s="6" t="inlineStr">
        <is>
          <t>PJ-073</t>
        </is>
      </c>
      <c r="C129" s="6" t="inlineStr">
        <is>
          <t>Approved budget not yet released by treasury</t>
        </is>
      </c>
      <c r="D129" s="6" t="inlineStr">
        <is>
          <t>Low</t>
        </is>
      </c>
      <c r="E129" s="6" t="inlineStr">
        <is>
          <t>B. Okafor</t>
        </is>
      </c>
      <c r="F129" s="9" t="inlineStr">
        <is>
          <t>2026-01-17</t>
        </is>
      </c>
      <c r="G129" s="9" t="inlineStr">
        <is>
          <t>2026-02-20</t>
        </is>
      </c>
      <c r="H129" s="6" t="inlineStr">
        <is>
          <t>Open</t>
        </is>
      </c>
    </row>
    <row r="130">
      <c r="A130" s="6" t="inlineStr">
        <is>
          <t>IS-0129</t>
        </is>
      </c>
      <c r="B130" s="6" t="inlineStr">
        <is>
          <t>PJ-073</t>
        </is>
      </c>
      <c r="C130" s="6" t="inlineStr">
        <is>
          <t>Defect backlog above agreed exit criteria</t>
        </is>
      </c>
      <c r="D130" s="6" t="inlineStr">
        <is>
          <t>High</t>
        </is>
      </c>
      <c r="E130" s="6" t="inlineStr">
        <is>
          <t>B. Okafor</t>
        </is>
      </c>
      <c r="F130" s="9" t="inlineStr">
        <is>
          <t>2025-12-31</t>
        </is>
      </c>
      <c r="G130" s="9" t="inlineStr">
        <is>
          <t>2026-04-28</t>
        </is>
      </c>
      <c r="H130" s="6" t="inlineStr">
        <is>
          <t>Open</t>
        </is>
      </c>
    </row>
    <row r="131">
      <c r="A131" s="6" t="inlineStr">
        <is>
          <t>IS-0130</t>
        </is>
      </c>
      <c r="B131" s="6" t="inlineStr">
        <is>
          <t>PJ-075</t>
        </is>
      </c>
      <c r="C131" s="6" t="inlineStr">
        <is>
          <t>Site access delayed pending safety clearance</t>
        </is>
      </c>
      <c r="D131" s="6" t="inlineStr">
        <is>
          <t>High</t>
        </is>
      </c>
      <c r="E131" s="6" t="inlineStr">
        <is>
          <t>B. Okafor</t>
        </is>
      </c>
      <c r="F131" s="9" t="inlineStr">
        <is>
          <t>2026-05-01</t>
        </is>
      </c>
      <c r="G131" s="9" t="inlineStr">
        <is>
          <t>2026-08-20</t>
        </is>
      </c>
      <c r="H131" s="6" t="inlineStr">
        <is>
          <t>In Progress</t>
        </is>
      </c>
    </row>
    <row r="132">
      <c r="A132" s="6" t="inlineStr">
        <is>
          <t>IS-0131</t>
        </is>
      </c>
      <c r="B132" s="6" t="inlineStr">
        <is>
          <t>PJ-075</t>
        </is>
      </c>
      <c r="C132" s="6" t="inlineStr">
        <is>
          <t>Contractor claim in dispute, blocking milestone certification</t>
        </is>
      </c>
      <c r="D132" s="6" t="inlineStr">
        <is>
          <t>Medium</t>
        </is>
      </c>
      <c r="E132" s="6" t="inlineStr">
        <is>
          <t>B. Okafor</t>
        </is>
      </c>
      <c r="F132" s="9" t="inlineStr">
        <is>
          <t>2026-07-04</t>
        </is>
      </c>
      <c r="G132" s="9" t="inlineStr">
        <is>
          <t>2026-07-27</t>
        </is>
      </c>
      <c r="H132" s="6" t="inlineStr">
        <is>
          <t>In Progress</t>
        </is>
      </c>
    </row>
    <row r="133">
      <c r="A133" s="6" t="inlineStr">
        <is>
          <t>IS-0132</t>
        </is>
      </c>
      <c r="B133" s="6" t="inlineStr">
        <is>
          <t>PJ-075</t>
        </is>
      </c>
      <c r="C133" s="6" t="inlineStr">
        <is>
          <t>Vendor delivery slipped against contracted milestone</t>
        </is>
      </c>
      <c r="D133" s="6" t="inlineStr">
        <is>
          <t>Medium</t>
        </is>
      </c>
      <c r="E133" s="6" t="inlineStr">
        <is>
          <t>B. Okafor</t>
        </is>
      </c>
      <c r="F133" s="9" t="inlineStr">
        <is>
          <t>2026-01-10</t>
        </is>
      </c>
      <c r="G133" s="9" t="inlineStr">
        <is>
          <t>2026-02-06</t>
        </is>
      </c>
      <c r="H133" s="6" t="inlineStr">
        <is>
          <t>In Progress</t>
        </is>
      </c>
    </row>
    <row r="134">
      <c r="A134" s="6" t="inlineStr">
        <is>
          <t>IS-0133</t>
        </is>
      </c>
      <c r="B134" s="6" t="inlineStr">
        <is>
          <t>PJ-075</t>
        </is>
      </c>
      <c r="C134" s="6" t="inlineStr">
        <is>
          <t>Accuracy benchmark not met in evaluation testing</t>
        </is>
      </c>
      <c r="D134" s="6" t="inlineStr">
        <is>
          <t>Medium</t>
        </is>
      </c>
      <c r="E134" s="6" t="inlineStr">
        <is>
          <t>B. Okafor</t>
        </is>
      </c>
      <c r="F134" s="9" t="inlineStr">
        <is>
          <t>2026-05-17</t>
        </is>
      </c>
      <c r="G134" s="9" t="inlineStr">
        <is>
          <t>2026-06-03</t>
        </is>
      </c>
      <c r="H134" s="6" t="inlineStr">
        <is>
          <t>Open</t>
        </is>
      </c>
    </row>
    <row r="135">
      <c r="A135" s="6" t="inlineStr">
        <is>
          <t>IS-0134</t>
        </is>
      </c>
      <c r="B135" s="6" t="inlineStr">
        <is>
          <t>PJ-077</t>
        </is>
      </c>
      <c r="C135" s="6" t="inlineStr">
        <is>
          <t>Upstream dependency milestone missed by another programme</t>
        </is>
      </c>
      <c r="D135" s="6" t="inlineStr">
        <is>
          <t>High</t>
        </is>
      </c>
      <c r="E135" s="6" t="inlineStr">
        <is>
          <t>D. Kaur</t>
        </is>
      </c>
      <c r="F135" s="9" t="inlineStr">
        <is>
          <t>2026-04-26</t>
        </is>
      </c>
      <c r="G135" s="9" t="inlineStr">
        <is>
          <t>2026-09-08</t>
        </is>
      </c>
      <c r="H135" s="6" t="inlineStr">
        <is>
          <t>Resolved</t>
        </is>
      </c>
    </row>
    <row r="136">
      <c r="A136" s="6" t="inlineStr">
        <is>
          <t>IS-0135</t>
        </is>
      </c>
      <c r="B136" s="6" t="inlineStr">
        <is>
          <t>PJ-077</t>
        </is>
      </c>
      <c r="C136" s="6" t="inlineStr">
        <is>
          <t>Data sharing agreement rejected by the source authority</t>
        </is>
      </c>
      <c r="D136" s="6" t="inlineStr">
        <is>
          <t>High</t>
        </is>
      </c>
      <c r="E136" s="6" t="inlineStr">
        <is>
          <t>D. Kaur</t>
        </is>
      </c>
      <c r="F136" s="9" t="inlineStr">
        <is>
          <t>2025-11-30</t>
        </is>
      </c>
      <c r="G136" s="9" t="inlineStr">
        <is>
          <t>2026-02-02</t>
        </is>
      </c>
      <c r="H136" s="6" t="inlineStr">
        <is>
          <t>Resolved</t>
        </is>
      </c>
    </row>
    <row r="137">
      <c r="A137" s="6" t="inlineStr">
        <is>
          <t>IS-0136</t>
        </is>
      </c>
      <c r="B137" s="6" t="inlineStr">
        <is>
          <t>PJ-077</t>
        </is>
      </c>
      <c r="C137" s="6" t="inlineStr">
        <is>
          <t>Counterpart has not confirmed the ratification timetable</t>
        </is>
      </c>
      <c r="D137" s="6" t="inlineStr">
        <is>
          <t>Low</t>
        </is>
      </c>
      <c r="E137" s="6" t="inlineStr">
        <is>
          <t>D. Kaur</t>
        </is>
      </c>
      <c r="F137" s="9" t="inlineStr">
        <is>
          <t>2025-11-19</t>
        </is>
      </c>
      <c r="G137" s="9" t="inlineStr">
        <is>
          <t>2026-03-08</t>
        </is>
      </c>
      <c r="H137" s="6" t="inlineStr">
        <is>
          <t>In Progress</t>
        </is>
      </c>
    </row>
    <row r="138">
      <c r="A138" s="6" t="inlineStr">
        <is>
          <t>IS-0137</t>
        </is>
      </c>
      <c r="B138" s="6" t="inlineStr">
        <is>
          <t>PJ-078</t>
        </is>
      </c>
      <c r="C138" s="6" t="inlineStr">
        <is>
          <t>Data sharing agreement rejected by the source authority</t>
        </is>
      </c>
      <c r="D138" s="6" t="inlineStr">
        <is>
          <t>Medium</t>
        </is>
      </c>
      <c r="E138" s="6" t="inlineStr">
        <is>
          <t>D. Kaur</t>
        </is>
      </c>
      <c r="F138" s="9" t="inlineStr">
        <is>
          <t>2026-03-25</t>
        </is>
      </c>
      <c r="G138" s="9" t="inlineStr">
        <is>
          <t>2026-07-08</t>
        </is>
      </c>
      <c r="H138" s="6" t="inlineStr">
        <is>
          <t>Open</t>
        </is>
      </c>
    </row>
    <row r="139">
      <c r="A139" s="6" t="inlineStr">
        <is>
          <t>IS-0138</t>
        </is>
      </c>
      <c r="B139" s="6" t="inlineStr">
        <is>
          <t>PJ-081</t>
        </is>
      </c>
      <c r="C139" s="6" t="inlineStr">
        <is>
          <t>Security review raised findings blocking accreditation</t>
        </is>
      </c>
      <c r="D139" s="6" t="inlineStr">
        <is>
          <t>Medium</t>
        </is>
      </c>
      <c r="E139" s="6" t="inlineStr">
        <is>
          <t>E. Castellani</t>
        </is>
      </c>
      <c r="F139" s="9" t="inlineStr">
        <is>
          <t>2025-12-28</t>
        </is>
      </c>
      <c r="G139" s="9" t="inlineStr">
        <is>
          <t>2026-03-12</t>
        </is>
      </c>
      <c r="H139" s="6" t="inlineStr">
        <is>
          <t>In Progress</t>
        </is>
      </c>
    </row>
    <row r="140">
      <c r="A140" s="6" t="inlineStr">
        <is>
          <t>IS-0139</t>
        </is>
      </c>
      <c r="B140" s="6" t="inlineStr">
        <is>
          <t>PJ-083</t>
        </is>
      </c>
      <c r="C140" s="6" t="inlineStr">
        <is>
          <t>Data sharing agreement rejected by the source authority</t>
        </is>
      </c>
      <c r="D140" s="6" t="inlineStr">
        <is>
          <t>Medium</t>
        </is>
      </c>
      <c r="E140" s="6" t="inlineStr">
        <is>
          <t>E. Castellani</t>
        </is>
      </c>
      <c r="F140" s="9" t="inlineStr">
        <is>
          <t>2026-02-20</t>
        </is>
      </c>
      <c r="G140" s="9" t="inlineStr">
        <is>
          <t>2026-04-07</t>
        </is>
      </c>
      <c r="H140" s="6" t="inlineStr">
        <is>
          <t>Resolved</t>
        </is>
      </c>
    </row>
    <row r="141">
      <c r="A141" s="6" t="inlineStr">
        <is>
          <t>IS-0140</t>
        </is>
      </c>
      <c r="B141" s="6" t="inlineStr">
        <is>
          <t>PJ-084</t>
        </is>
      </c>
      <c r="C141" s="6" t="inlineStr">
        <is>
          <t>Vendor delivery slipped against contracted milestone</t>
        </is>
      </c>
      <c r="D141" s="6" t="inlineStr">
        <is>
          <t>Critical</t>
        </is>
      </c>
      <c r="E141" s="6" t="inlineStr">
        <is>
          <t>E. Castellani</t>
        </is>
      </c>
      <c r="F141" s="9" t="inlineStr">
        <is>
          <t>2026-05-24</t>
        </is>
      </c>
      <c r="G141" s="9" t="inlineStr">
        <is>
          <t>2026-09-17</t>
        </is>
      </c>
      <c r="H141" s="6" t="inlineStr">
        <is>
          <t>Open</t>
        </is>
      </c>
    </row>
  </sheetData>
  <autoFilter ref="A1:H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56" customWidth="1" min="4" max="4"/>
    <col width="56" customWidth="1" min="5" max="5"/>
    <col width="16" customWidth="1" min="6" max="6"/>
  </cols>
  <sheetData>
    <row r="1" ht="30" customHeight="1">
      <c r="A1" s="5" t="inlineStr">
        <is>
          <t>LessonID</t>
        </is>
      </c>
      <c r="B1" s="5" t="inlineStr">
        <is>
          <t>ProjectID</t>
        </is>
      </c>
      <c r="C1" s="5" t="inlineStr">
        <is>
          <t>Category</t>
        </is>
      </c>
      <c r="D1" s="5" t="inlineStr">
        <is>
          <t>Lesson</t>
        </is>
      </c>
      <c r="E1" s="5" t="inlineStr">
        <is>
          <t>Recommendation</t>
        </is>
      </c>
      <c r="F1" s="5" t="inlineStr">
        <is>
          <t>DateCaptured</t>
        </is>
      </c>
    </row>
    <row r="2">
      <c r="A2" s="6" t="inlineStr">
        <is>
          <t>LL-0001</t>
        </is>
      </c>
      <c r="B2" s="6" t="inlineStr">
        <is>
          <t>PJ-001</t>
        </is>
      </c>
      <c r="C2" s="6" t="inlineStr">
        <is>
          <t>Quality</t>
        </is>
      </c>
      <c r="D2" s="6" t="inlineStr">
        <is>
          <t>Contingency was consumed before the executing phase began</t>
        </is>
      </c>
      <c r="E2" s="6" t="inlineStr">
        <is>
          <t>Hold contingency at portfolio level and release it by exception</t>
        </is>
      </c>
      <c r="F2" s="9" t="inlineStr">
        <is>
          <t>2025-07-11</t>
        </is>
      </c>
    </row>
    <row r="3">
      <c r="A3" s="6" t="inlineStr">
        <is>
          <t>LL-0002</t>
        </is>
      </c>
      <c r="B3" s="6" t="inlineStr">
        <is>
          <t>PJ-001</t>
        </is>
      </c>
      <c r="C3" s="6" t="inlineStr">
        <is>
          <t>Planning</t>
        </is>
      </c>
      <c r="D3" s="6" t="inlineStr">
        <is>
          <t>Sector regulator was engaged only at pilot stage</t>
        </is>
      </c>
      <c r="E3" s="6" t="inlineStr">
        <is>
          <t>Bring the regulator into design review for any citizen-facing model</t>
        </is>
      </c>
      <c r="F3" s="9" t="inlineStr">
        <is>
          <t>2026-01-27</t>
        </is>
      </c>
    </row>
    <row r="4">
      <c r="A4" s="6" t="inlineStr">
        <is>
          <t>LL-0003</t>
        </is>
      </c>
      <c r="B4" s="6" t="inlineStr">
        <is>
          <t>PJ-001</t>
        </is>
      </c>
      <c r="C4" s="6" t="inlineStr">
        <is>
          <t>Governance</t>
        </is>
      </c>
      <c r="D4" s="6" t="inlineStr">
        <is>
          <t>Model evaluation criteria were agreed after training had started</t>
        </is>
      </c>
      <c r="E4" s="6" t="inlineStr">
        <is>
          <t>Fix evaluation and red-team criteria before the first training run</t>
        </is>
      </c>
      <c r="F4" s="9" t="inlineStr">
        <is>
          <t>2026-07-22</t>
        </is>
      </c>
    </row>
    <row r="5">
      <c r="A5" s="6" t="inlineStr">
        <is>
          <t>LL-0004</t>
        </is>
      </c>
      <c r="B5" s="6" t="inlineStr">
        <is>
          <t>PJ-008</t>
        </is>
      </c>
      <c r="C5" s="6" t="inlineStr">
        <is>
          <t>Communication</t>
        </is>
      </c>
      <c r="D5" s="6" t="inlineStr">
        <is>
          <t>Export licence dependency surfaced only at contract signature</t>
        </is>
      </c>
      <c r="E5" s="6" t="inlineStr">
        <is>
          <t>Run an export-control assessment during business case, not after</t>
        </is>
      </c>
      <c r="F5" s="9" t="inlineStr">
        <is>
          <t>2025-08-13</t>
        </is>
      </c>
    </row>
    <row r="6">
      <c r="A6" s="6" t="inlineStr">
        <is>
          <t>LL-0005</t>
        </is>
      </c>
      <c r="B6" s="6" t="inlineStr">
        <is>
          <t>PJ-008</t>
        </is>
      </c>
      <c r="C6" s="6" t="inlineStr">
        <is>
          <t>Procurement</t>
        </is>
      </c>
      <c r="D6" s="6" t="inlineStr">
        <is>
          <t>Change network stood up too late for frontline adoption</t>
        </is>
      </c>
      <c r="E6" s="6" t="inlineStr">
        <is>
          <t>Appoint change leads at the same time as the project manager</t>
        </is>
      </c>
      <c r="F6" s="9" t="inlineStr">
        <is>
          <t>2025-09-13</t>
        </is>
      </c>
    </row>
    <row r="7">
      <c r="A7" s="6" t="inlineStr">
        <is>
          <t>LL-0006</t>
        </is>
      </c>
      <c r="B7" s="6" t="inlineStr">
        <is>
          <t>PJ-008</t>
        </is>
      </c>
      <c r="C7" s="6" t="inlineStr">
        <is>
          <t>Procurement</t>
        </is>
      </c>
      <c r="D7" s="6" t="inlineStr">
        <is>
          <t>Model evaluation criteria were agreed after training had started</t>
        </is>
      </c>
      <c r="E7" s="6" t="inlineStr">
        <is>
          <t>Fix evaluation and red-team criteria before the first training run</t>
        </is>
      </c>
      <c r="F7" s="9" t="inlineStr">
        <is>
          <t>2025-10-31</t>
        </is>
      </c>
    </row>
    <row r="8">
      <c r="A8" s="6" t="inlineStr">
        <is>
          <t>LL-0007</t>
        </is>
      </c>
      <c r="B8" s="6" t="inlineStr">
        <is>
          <t>PJ-009</t>
        </is>
      </c>
      <c r="C8" s="6" t="inlineStr">
        <is>
          <t>Communication</t>
        </is>
      </c>
      <c r="D8" s="6" t="inlineStr">
        <is>
          <t>Grid connection lead time was assumed, not confirmed with the utility</t>
        </is>
      </c>
      <c r="E8" s="6" t="inlineStr">
        <is>
          <t>Make a written utility connection date a gate condition before capital release</t>
        </is>
      </c>
      <c r="F8" s="9" t="inlineStr">
        <is>
          <t>2025-08-29</t>
        </is>
      </c>
    </row>
    <row r="9">
      <c r="A9" s="6" t="inlineStr">
        <is>
          <t>LL-0008</t>
        </is>
      </c>
      <c r="B9" s="6" t="inlineStr">
        <is>
          <t>PJ-009</t>
        </is>
      </c>
      <c r="C9" s="6" t="inlineStr">
        <is>
          <t>Planning</t>
        </is>
      </c>
      <c r="D9" s="6" t="inlineStr">
        <is>
          <t>Model evaluation criteria were agreed after training had started</t>
        </is>
      </c>
      <c r="E9" s="6" t="inlineStr">
        <is>
          <t>Fix evaluation and red-team criteria before the first training run</t>
        </is>
      </c>
      <c r="F9" s="9" t="inlineStr">
        <is>
          <t>2025-11-22</t>
        </is>
      </c>
    </row>
    <row r="10">
      <c r="A10" s="6" t="inlineStr">
        <is>
          <t>LL-0009</t>
        </is>
      </c>
      <c r="B10" s="6" t="inlineStr">
        <is>
          <t>PJ-009</t>
        </is>
      </c>
      <c r="C10" s="6" t="inlineStr">
        <is>
          <t>Stakeholder</t>
        </is>
      </c>
      <c r="D10" s="6" t="inlineStr">
        <is>
          <t>Benefit telemetry was not instrumented at go-live</t>
        </is>
      </c>
      <c r="E10" s="6" t="inlineStr">
        <is>
          <t>Make benefit measurement a mandatory acceptance criterion</t>
        </is>
      </c>
      <c r="F10" s="9" t="inlineStr">
        <is>
          <t>2026-07-02</t>
        </is>
      </c>
    </row>
    <row r="11">
      <c r="A11" s="6" t="inlineStr">
        <is>
          <t>LL-0010</t>
        </is>
      </c>
      <c r="B11" s="6" t="inlineStr">
        <is>
          <t>PJ-011</t>
        </is>
      </c>
      <c r="C11" s="6" t="inlineStr">
        <is>
          <t>Risk</t>
        </is>
      </c>
      <c r="D11" s="6" t="inlineStr">
        <is>
          <t>Bilateral agreement lacked an agreed dispute mechanism</t>
        </is>
      </c>
      <c r="E11" s="6" t="inlineStr">
        <is>
          <t>Require a dispute and exit clause in every G2G term sheet</t>
        </is>
      </c>
      <c r="F11" s="9" t="inlineStr">
        <is>
          <t>2026-03-03</t>
        </is>
      </c>
    </row>
    <row r="12">
      <c r="A12" s="6" t="inlineStr">
        <is>
          <t>LL-0011</t>
        </is>
      </c>
      <c r="B12" s="6" t="inlineStr">
        <is>
          <t>PJ-011</t>
        </is>
      </c>
      <c r="C12" s="6" t="inlineStr">
        <is>
          <t>Procurement</t>
        </is>
      </c>
      <c r="D12" s="6" t="inlineStr">
        <is>
          <t>Sector regulator was engaged only at pilot stage</t>
        </is>
      </c>
      <c r="E12" s="6" t="inlineStr">
        <is>
          <t>Bring the regulator into design review for any citizen-facing model</t>
        </is>
      </c>
      <c r="F12" s="9" t="inlineStr">
        <is>
          <t>2026-07-16</t>
        </is>
      </c>
    </row>
    <row r="13">
      <c r="A13" s="6" t="inlineStr">
        <is>
          <t>LL-0012</t>
        </is>
      </c>
      <c r="B13" s="6" t="inlineStr">
        <is>
          <t>PJ-014</t>
        </is>
      </c>
      <c r="C13" s="6" t="inlineStr">
        <is>
          <t>Communication</t>
        </is>
      </c>
      <c r="D13" s="6" t="inlineStr">
        <is>
          <t>Grid connection lead time was assumed, not confirmed with the utility</t>
        </is>
      </c>
      <c r="E13" s="6" t="inlineStr">
        <is>
          <t>Make a written utility connection date a gate condition before capital release</t>
        </is>
      </c>
      <c r="F13" s="9" t="inlineStr">
        <is>
          <t>2025-11-03</t>
        </is>
      </c>
    </row>
    <row r="14">
      <c r="A14" s="6" t="inlineStr">
        <is>
          <t>LL-0013</t>
        </is>
      </c>
      <c r="B14" s="6" t="inlineStr">
        <is>
          <t>PJ-030</t>
        </is>
      </c>
      <c r="C14" s="6" t="inlineStr">
        <is>
          <t>Governance</t>
        </is>
      </c>
      <c r="D14" s="6" t="inlineStr">
        <is>
          <t>Compute was procured before the workload profile was understood</t>
        </is>
      </c>
      <c r="E14" s="6" t="inlineStr">
        <is>
          <t>Baseline the workload mix before committing to accelerator generation</t>
        </is>
      </c>
      <c r="F14" s="9" t="inlineStr">
        <is>
          <t>2025-12-19</t>
        </is>
      </c>
    </row>
    <row r="15">
      <c r="A15" s="6" t="inlineStr">
        <is>
          <t>LL-0014</t>
        </is>
      </c>
      <c r="B15" s="6" t="inlineStr">
        <is>
          <t>PJ-034</t>
        </is>
      </c>
      <c r="C15" s="6" t="inlineStr">
        <is>
          <t>Governance</t>
        </is>
      </c>
      <c r="D15" s="6" t="inlineStr">
        <is>
          <t>Sector regulator was engaged only at pilot stage</t>
        </is>
      </c>
      <c r="E15" s="6" t="inlineStr">
        <is>
          <t>Bring the regulator into design review for any citizen-facing model</t>
        </is>
      </c>
      <c r="F15" s="9" t="inlineStr">
        <is>
          <t>2026-01-04</t>
        </is>
      </c>
    </row>
    <row r="16">
      <c r="A16" s="6" t="inlineStr">
        <is>
          <t>LL-0015</t>
        </is>
      </c>
      <c r="B16" s="6" t="inlineStr">
        <is>
          <t>PJ-034</t>
        </is>
      </c>
      <c r="C16" s="6" t="inlineStr">
        <is>
          <t>Resource</t>
        </is>
      </c>
      <c r="D16" s="6" t="inlineStr">
        <is>
          <t>Benefit telemetry was not instrumented at go-live</t>
        </is>
      </c>
      <c r="E16" s="6" t="inlineStr">
        <is>
          <t>Make benefit measurement a mandatory acceptance criterion</t>
        </is>
      </c>
      <c r="F16" s="9" t="inlineStr">
        <is>
          <t>2026-01-04</t>
        </is>
      </c>
    </row>
    <row r="17">
      <c r="A17" s="6" t="inlineStr">
        <is>
          <t>LL-0016</t>
        </is>
      </c>
      <c r="B17" s="6" t="inlineStr">
        <is>
          <t>PJ-055</t>
        </is>
      </c>
      <c r="C17" s="6" t="inlineStr">
        <is>
          <t>Stakeholder</t>
        </is>
      </c>
      <c r="D17" s="6" t="inlineStr">
        <is>
          <t>Contingency was consumed before the executing phase began</t>
        </is>
      </c>
      <c r="E17" s="6" t="inlineStr">
        <is>
          <t>Hold contingency at portfolio level and release it by exception</t>
        </is>
      </c>
      <c r="F17" s="9" t="inlineStr">
        <is>
          <t>2025-11-10</t>
        </is>
      </c>
    </row>
    <row r="18">
      <c r="A18" s="6" t="inlineStr">
        <is>
          <t>LL-0017</t>
        </is>
      </c>
      <c r="B18" s="6" t="inlineStr">
        <is>
          <t>PJ-057</t>
        </is>
      </c>
      <c r="C18" s="6" t="inlineStr">
        <is>
          <t>Procurement</t>
        </is>
      </c>
      <c r="D18" s="6" t="inlineStr">
        <is>
          <t>Bilateral agreement lacked an agreed dispute mechanism</t>
        </is>
      </c>
      <c r="E18" s="6" t="inlineStr">
        <is>
          <t>Require a dispute and exit clause in every G2G term sheet</t>
        </is>
      </c>
      <c r="F18" s="9" t="inlineStr">
        <is>
          <t>2026-04-03</t>
        </is>
      </c>
    </row>
    <row r="19">
      <c r="A19" s="6" t="inlineStr">
        <is>
          <t>LL-0018</t>
        </is>
      </c>
      <c r="B19" s="6" t="inlineStr">
        <is>
          <t>PJ-060</t>
        </is>
      </c>
      <c r="C19" s="6" t="inlineStr">
        <is>
          <t>Planning</t>
        </is>
      </c>
      <c r="D19" s="6" t="inlineStr">
        <is>
          <t>Bilateral agreement lacked an agreed dispute mechanism</t>
        </is>
      </c>
      <c r="E19" s="6" t="inlineStr">
        <is>
          <t>Require a dispute and exit clause in every G2G term sheet</t>
        </is>
      </c>
      <c r="F19" s="9" t="inlineStr">
        <is>
          <t>2025-08-21</t>
        </is>
      </c>
    </row>
    <row r="20">
      <c r="A20" s="6" t="inlineStr">
        <is>
          <t>LL-0019</t>
        </is>
      </c>
      <c r="B20" s="6" t="inlineStr">
        <is>
          <t>PJ-060</t>
        </is>
      </c>
      <c r="C20" s="6" t="inlineStr">
        <is>
          <t>Quality</t>
        </is>
      </c>
      <c r="D20" s="6" t="inlineStr">
        <is>
          <t>Three departments built overlapping document AI capability</t>
        </is>
      </c>
      <c r="E20" s="6" t="inlineStr">
        <is>
          <t>Route all sector use cases through a central capability register first</t>
        </is>
      </c>
      <c r="F20" s="9" t="inlineStr">
        <is>
          <t>2026-03-31</t>
        </is>
      </c>
    </row>
    <row r="21">
      <c r="A21" s="6" t="inlineStr">
        <is>
          <t>LL-0020</t>
        </is>
      </c>
      <c r="B21" s="6" t="inlineStr">
        <is>
          <t>PJ-060</t>
        </is>
      </c>
      <c r="C21" s="6" t="inlineStr">
        <is>
          <t>Planning</t>
        </is>
      </c>
      <c r="D21" s="6" t="inlineStr">
        <is>
          <t>Export licence dependency surfaced only at contract signature</t>
        </is>
      </c>
      <c r="E21" s="6" t="inlineStr">
        <is>
          <t>Run an export-control assessment during business case, not after</t>
        </is>
      </c>
      <c r="F21" s="9" t="inlineStr">
        <is>
          <t>2026-04-08</t>
        </is>
      </c>
    </row>
    <row r="22">
      <c r="A22" s="6" t="inlineStr">
        <is>
          <t>LL-0021</t>
        </is>
      </c>
      <c r="B22" s="6" t="inlineStr">
        <is>
          <t>PJ-067</t>
        </is>
      </c>
      <c r="C22" s="6" t="inlineStr">
        <is>
          <t>Procurement</t>
        </is>
      </c>
      <c r="D22" s="6" t="inlineStr">
        <is>
          <t>Bilateral agreement lacked an agreed dispute mechanism</t>
        </is>
      </c>
      <c r="E22" s="6" t="inlineStr">
        <is>
          <t>Require a dispute and exit clause in every G2G term sheet</t>
        </is>
      </c>
      <c r="F22" s="9" t="inlineStr">
        <is>
          <t>2026-04-04</t>
        </is>
      </c>
    </row>
    <row r="23">
      <c r="A23" s="6" t="inlineStr">
        <is>
          <t>LL-0022</t>
        </is>
      </c>
      <c r="B23" s="6" t="inlineStr">
        <is>
          <t>PJ-067</t>
        </is>
      </c>
      <c r="C23" s="6" t="inlineStr">
        <is>
          <t>Communication</t>
        </is>
      </c>
      <c r="D23" s="6" t="inlineStr">
        <is>
          <t>Sector regulator was engaged only at pilot stage</t>
        </is>
      </c>
      <c r="E23" s="6" t="inlineStr">
        <is>
          <t>Bring the regulator into design review for any citizen-facing model</t>
        </is>
      </c>
      <c r="F23" s="9" t="inlineStr">
        <is>
          <t>2026-06-04</t>
        </is>
      </c>
    </row>
    <row r="24">
      <c r="A24" s="6" t="inlineStr">
        <is>
          <t>LL-0023</t>
        </is>
      </c>
      <c r="B24" s="6" t="inlineStr">
        <is>
          <t>PJ-071</t>
        </is>
      </c>
      <c r="C24" s="6" t="inlineStr">
        <is>
          <t>Stakeholder</t>
        </is>
      </c>
      <c r="D24" s="6" t="inlineStr">
        <is>
          <t>Bilateral agreement lacked an agreed dispute mechanism</t>
        </is>
      </c>
      <c r="E24" s="6" t="inlineStr">
        <is>
          <t>Require a dispute and exit clause in every G2G term sheet</t>
        </is>
      </c>
      <c r="F24" s="9" t="inlineStr">
        <is>
          <t>2025-10-28</t>
        </is>
      </c>
    </row>
    <row r="25">
      <c r="A25" s="6" t="inlineStr">
        <is>
          <t>LL-0024</t>
        </is>
      </c>
      <c r="B25" s="6" t="inlineStr">
        <is>
          <t>PJ-071</t>
        </is>
      </c>
      <c r="C25" s="6" t="inlineStr">
        <is>
          <t>Procurement</t>
        </is>
      </c>
      <c r="D25" s="6" t="inlineStr">
        <is>
          <t>Model evaluation criteria were agreed after training had started</t>
        </is>
      </c>
      <c r="E25" s="6" t="inlineStr">
        <is>
          <t>Fix evaluation and red-team criteria before the first training run</t>
        </is>
      </c>
      <c r="F25" s="9" t="inlineStr">
        <is>
          <t>2026-04-28</t>
        </is>
      </c>
    </row>
    <row r="26">
      <c r="A26" s="6" t="inlineStr">
        <is>
          <t>LL-0025</t>
        </is>
      </c>
      <c r="B26" s="6" t="inlineStr">
        <is>
          <t>PJ-073</t>
        </is>
      </c>
      <c r="C26" s="6" t="inlineStr">
        <is>
          <t>Procurement</t>
        </is>
      </c>
      <c r="D26" s="6" t="inlineStr">
        <is>
          <t>Benefit telemetry was not instrumented at go-live</t>
        </is>
      </c>
      <c r="E26" s="6" t="inlineStr">
        <is>
          <t>Make benefit measurement a mandatory acceptance criterion</t>
        </is>
      </c>
      <c r="F26" s="9" t="inlineStr">
        <is>
          <t>2026-07-11</t>
        </is>
      </c>
    </row>
    <row r="27">
      <c r="A27" s="6" t="inlineStr">
        <is>
          <t>LL-0026</t>
        </is>
      </c>
      <c r="B27" s="6" t="inlineStr">
        <is>
          <t>PJ-073</t>
        </is>
      </c>
      <c r="C27" s="6" t="inlineStr">
        <is>
          <t>Quality</t>
        </is>
      </c>
      <c r="D27" s="6" t="inlineStr">
        <is>
          <t>Change network stood up too late for frontline adoption</t>
        </is>
      </c>
      <c r="E27" s="6" t="inlineStr">
        <is>
          <t>Appoint change leads at the same time as the project manager</t>
        </is>
      </c>
      <c r="F27" s="9" t="inlineStr">
        <is>
          <t>2026-06-18</t>
        </is>
      </c>
    </row>
    <row r="28">
      <c r="A28" s="6" t="inlineStr">
        <is>
          <t>LL-0027</t>
        </is>
      </c>
      <c r="B28" s="6" t="inlineStr">
        <is>
          <t>PJ-073</t>
        </is>
      </c>
      <c r="C28" s="6" t="inlineStr">
        <is>
          <t>Procurement</t>
        </is>
      </c>
      <c r="D28" s="6" t="inlineStr">
        <is>
          <t>Three departments built overlapping document AI capability</t>
        </is>
      </c>
      <c r="E28" s="6" t="inlineStr">
        <is>
          <t>Route all sector use cases through a central capability register first</t>
        </is>
      </c>
      <c r="F28" s="9" t="inlineStr">
        <is>
          <t>2026-01-09</t>
        </is>
      </c>
    </row>
    <row r="29">
      <c r="A29" s="6" t="inlineStr">
        <is>
          <t>LL-0028</t>
        </is>
      </c>
      <c r="B29" s="6" t="inlineStr">
        <is>
          <t>PJ-075</t>
        </is>
      </c>
      <c r="C29" s="6" t="inlineStr">
        <is>
          <t>Planning</t>
        </is>
      </c>
      <c r="D29" s="6" t="inlineStr">
        <is>
          <t>Benefit telemetry was not instrumented at go-live</t>
        </is>
      </c>
      <c r="E29" s="6" t="inlineStr">
        <is>
          <t>Make benefit measurement a mandatory acceptance criterion</t>
        </is>
      </c>
      <c r="F29" s="9" t="inlineStr">
        <is>
          <t>2025-08-31</t>
        </is>
      </c>
    </row>
    <row r="30">
      <c r="A30" s="6" t="inlineStr">
        <is>
          <t>LL-0029</t>
        </is>
      </c>
      <c r="B30" s="6" t="inlineStr">
        <is>
          <t>PJ-075</t>
        </is>
      </c>
      <c r="C30" s="6" t="inlineStr">
        <is>
          <t>Governance</t>
        </is>
      </c>
      <c r="D30" s="6" t="inlineStr">
        <is>
          <t>Change network stood up too late for frontline adoption</t>
        </is>
      </c>
      <c r="E30" s="6" t="inlineStr">
        <is>
          <t>Appoint change leads at the same time as the project manager</t>
        </is>
      </c>
      <c r="F30" s="9" t="inlineStr">
        <is>
          <t>2026-05-18</t>
        </is>
      </c>
    </row>
    <row r="31">
      <c r="A31" s="6" t="inlineStr">
        <is>
          <t>LL-0030</t>
        </is>
      </c>
      <c r="B31" s="6" t="inlineStr">
        <is>
          <t>PJ-077</t>
        </is>
      </c>
      <c r="C31" s="6" t="inlineStr">
        <is>
          <t>Resource</t>
        </is>
      </c>
      <c r="D31" s="6" t="inlineStr">
        <is>
          <t>Contingency was consumed before the executing phase began</t>
        </is>
      </c>
      <c r="E31" s="6" t="inlineStr">
        <is>
          <t>Hold contingency at portfolio level and release it by exception</t>
        </is>
      </c>
      <c r="F31" s="9" t="inlineStr">
        <is>
          <t>2026-01-03</t>
        </is>
      </c>
    </row>
    <row r="32">
      <c r="A32" s="6" t="inlineStr">
        <is>
          <t>LL-0031</t>
        </is>
      </c>
      <c r="B32" s="6" t="inlineStr">
        <is>
          <t>PJ-077</t>
        </is>
      </c>
      <c r="C32" s="6" t="inlineStr">
        <is>
          <t>Planning</t>
        </is>
      </c>
      <c r="D32" s="6" t="inlineStr">
        <is>
          <t>Grid connection lead time was assumed, not confirmed with the utility</t>
        </is>
      </c>
      <c r="E32" s="6" t="inlineStr">
        <is>
          <t>Make a written utility connection date a gate condition before capital release</t>
        </is>
      </c>
      <c r="F32" s="9" t="inlineStr">
        <is>
          <t>2026-02-03</t>
        </is>
      </c>
    </row>
  </sheetData>
  <autoFilter ref="A1:F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62" customWidth="1" min="3" max="3"/>
  </cols>
  <sheetData>
    <row r="1" ht="30" customHeight="1">
      <c r="A1" s="5" t="inlineStr">
        <is>
          <t>Setting</t>
        </is>
      </c>
      <c r="B1" s="5" t="inlineStr">
        <is>
          <t>Value</t>
        </is>
      </c>
      <c r="C1" s="5" t="inlineStr">
        <is>
          <t>Notes</t>
        </is>
      </c>
    </row>
    <row r="2">
      <c r="A2" s="6" t="inlineStr">
        <is>
          <t>CPI_Green</t>
        </is>
      </c>
      <c r="B2" s="6" t="n">
        <v>0.95</v>
      </c>
      <c r="C2" s="6" t="inlineStr">
        <is>
          <t>Cost Performance Index at or above this = Green</t>
        </is>
      </c>
    </row>
    <row r="3">
      <c r="A3" s="6" t="inlineStr">
        <is>
          <t>CPI_Amber</t>
        </is>
      </c>
      <c r="B3" s="6" t="n">
        <v>0.85</v>
      </c>
      <c r="C3" s="6" t="inlineStr">
        <is>
          <t>CPI at or above this (below Green) = Amber; below = Red</t>
        </is>
      </c>
    </row>
    <row r="4">
      <c r="A4" s="6" t="inlineStr">
        <is>
          <t>SPI_Green</t>
        </is>
      </c>
      <c r="B4" s="6" t="n">
        <v>0.95</v>
      </c>
      <c r="C4" s="6" t="inlineStr">
        <is>
          <t>Schedule Performance Index at or above this = Green</t>
        </is>
      </c>
    </row>
    <row r="5">
      <c r="A5" s="6" t="inlineStr">
        <is>
          <t>SPI_Amber</t>
        </is>
      </c>
      <c r="B5" s="6" t="n">
        <v>0.85</v>
      </c>
      <c r="C5" s="6" t="inlineStr">
        <is>
          <t>SPI at or above this (below Green) = Amber; below = Red</t>
        </is>
      </c>
    </row>
    <row r="6">
      <c r="A6" s="6" t="inlineStr">
        <is>
          <t>Risk_Green</t>
        </is>
      </c>
      <c r="B6" s="6" t="n">
        <v>10</v>
      </c>
      <c r="C6" s="6" t="inlineStr">
        <is>
          <t>Highest open risk exposure (Probability x Impact) at or below this = Green</t>
        </is>
      </c>
    </row>
    <row r="7">
      <c r="A7" s="6" t="inlineStr">
        <is>
          <t>Risk_Amber</t>
        </is>
      </c>
      <c r="B7" s="6" t="n">
        <v>16</v>
      </c>
      <c r="C7" s="6" t="inlineStr">
        <is>
          <t>Highest open risk exposure at or below this = Amber; above = Red (so Red needs high probability AND high impact)</t>
        </is>
      </c>
    </row>
    <row r="8">
      <c r="A8" s="6" t="inlineStr">
        <is>
          <t>Rollup_RiskRed_Share</t>
        </is>
      </c>
      <c r="B8" s="6" t="n">
        <v>0.2</v>
      </c>
      <c r="C8" s="6" t="inlineStr"/>
    </row>
    <row r="9">
      <c r="A9" s="6" t="inlineStr">
        <is>
          <t>Rollup_RiskAmber_Share</t>
        </is>
      </c>
      <c r="B9" s="6" t="n">
        <v>0.08</v>
      </c>
      <c r="C9" s="6" t="inlineStr"/>
    </row>
    <row r="10">
      <c r="A10" s="6" t="inlineStr">
        <is>
          <t>Rollup_DeliveryRed_Share</t>
        </is>
      </c>
      <c r="B10" s="6" t="n">
        <v>0.3</v>
      </c>
      <c r="C10" s="6" t="inlineStr"/>
    </row>
    <row r="11">
      <c r="A11" s="6" t="inlineStr">
        <is>
          <t>Rollup_DeliveryAmber_Share</t>
        </is>
      </c>
      <c r="B11" s="6" t="n">
        <v>0.15</v>
      </c>
      <c r="C11" s="6" t="inlineStr"/>
    </row>
    <row r="12">
      <c r="A12" s="6" t="inlineStr">
        <is>
          <t>Currency</t>
        </is>
      </c>
      <c r="B12" s="6" t="inlineStr">
        <is>
          <t>USD</t>
        </is>
      </c>
      <c r="C12" s="6" t="inlineStr">
        <is>
          <t>Reporting currency for all monetary values</t>
        </is>
      </c>
    </row>
    <row r="13">
      <c r="A13" s="6" t="inlineStr">
        <is>
          <t>ReportingDate</t>
        </is>
      </c>
      <c r="B13" s="6" t="inlineStr">
        <is>
          <t>2026-08-16</t>
        </is>
      </c>
      <c r="C13" s="6" t="inlineStr">
        <is>
          <t>As-at date for elapsed and overdue calculations</t>
        </is>
      </c>
    </row>
  </sheetData>
  <autoFilter ref="A1: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2026-08-16T00:00:00Z</dcterms:created>
  <dcterms:modified xmlns:dcterms="http://purl.org/dc/terms/" xmlns:xsi="http://www.w3.org/2001/XMLSchema-instance" xsi:type="dcterms:W3CDTF">2026-08-16T00:00:00Z</dcterms:modified>
</cp:coreProperties>
</file>